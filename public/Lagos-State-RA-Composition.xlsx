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DRULER\Desktop\MADAM'S WORK\"/>
    </mc:Choice>
  </mc:AlternateContent>
  <xr:revisionPtr revIDLastSave="0" documentId="13_ncr:1_{1F399F22-FA2B-4B8A-AF8A-852E080A999D}" xr6:coauthVersionLast="47" xr6:coauthVersionMax="47" xr10:uidLastSave="{00000000-0000-0000-0000-000000000000}"/>
  <bookViews>
    <workbookView xWindow="-120" yWindow="-120" windowWidth="29040" windowHeight="15720" xr2:uid="{CC7D2430-4884-43FF-94BF-9D463A6495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8" i="1" l="1"/>
  <c r="E293" i="1"/>
  <c r="E278" i="1"/>
  <c r="E264" i="1"/>
  <c r="E250" i="1"/>
  <c r="E233" i="1"/>
  <c r="E219" i="1"/>
  <c r="E197" i="1"/>
  <c r="E184" i="1"/>
  <c r="E162" i="1"/>
  <c r="E149" i="1"/>
  <c r="E135" i="1"/>
  <c r="E121" i="1"/>
  <c r="E108" i="1"/>
  <c r="E86" i="1"/>
  <c r="E72" i="1"/>
  <c r="E59" i="1"/>
  <c r="E45" i="1"/>
  <c r="E31" i="1"/>
  <c r="E17" i="1"/>
  <c r="E310" i="1" l="1"/>
</calcChain>
</file>

<file path=xl/sharedStrings.xml><?xml version="1.0" encoding="utf-8"?>
<sst xmlns="http://schemas.openxmlformats.org/spreadsheetml/2006/main" count="558" uniqueCount="290">
  <si>
    <t>S/L</t>
  </si>
  <si>
    <t>LGA</t>
  </si>
  <si>
    <t>NAME OF RA</t>
  </si>
  <si>
    <t>RA CODE</t>
  </si>
  <si>
    <t>NO OF PUs</t>
  </si>
  <si>
    <t>AGEGE</t>
  </si>
  <si>
    <t>ISALE/IDIMANGORO</t>
  </si>
  <si>
    <t>01</t>
  </si>
  <si>
    <t>ILORO/ONIPETESI</t>
  </si>
  <si>
    <t>02</t>
  </si>
  <si>
    <t>ONIWAYA/PAPA-UKU</t>
  </si>
  <si>
    <t>03</t>
  </si>
  <si>
    <t>AGBOTIKUYO/DOPEMU</t>
  </si>
  <si>
    <t>04</t>
  </si>
  <si>
    <t>OYEWOLE/PAPA ASHAFA</t>
  </si>
  <si>
    <t>05</t>
  </si>
  <si>
    <t>OKE KOTO</t>
  </si>
  <si>
    <t>06</t>
  </si>
  <si>
    <t>KEKE</t>
  </si>
  <si>
    <t>07</t>
  </si>
  <si>
    <t>DAROCHA</t>
  </si>
  <si>
    <t>08</t>
  </si>
  <si>
    <t>TABON- TABON/OKO-OBA</t>
  </si>
  <si>
    <t>09</t>
  </si>
  <si>
    <t>ORILE AGEGE/OKO-OBA</t>
  </si>
  <si>
    <t>10</t>
  </si>
  <si>
    <t>ISALE-ODO</t>
  </si>
  <si>
    <t>11</t>
  </si>
  <si>
    <t xml:space="preserve"> </t>
  </si>
  <si>
    <t>TOTAL</t>
  </si>
  <si>
    <t>RA NAME</t>
  </si>
  <si>
    <t>AGO HAUSA</t>
  </si>
  <si>
    <t>AWODI ORA</t>
  </si>
  <si>
    <t>WILMER</t>
  </si>
  <si>
    <t>OLODI</t>
  </si>
  <si>
    <t>TOLU</t>
  </si>
  <si>
    <t>TEMIDIRE I</t>
  </si>
  <si>
    <t>OJO ROAD</t>
  </si>
  <si>
    <t>LAYENI</t>
  </si>
  <si>
    <t>ALABA ORO</t>
  </si>
  <si>
    <t>MOSAFEJO</t>
  </si>
  <si>
    <t>TEMIDIRE II</t>
  </si>
  <si>
    <t>ALIMOSHO</t>
  </si>
  <si>
    <t>SHASHA/AKOWONJO</t>
  </si>
  <si>
    <t>EGBEDA/ALIMOSHO</t>
  </si>
  <si>
    <t>IDIMU/ISHERI OLOFIN</t>
  </si>
  <si>
    <t>IKOTUN/IJEGUN</t>
  </si>
  <si>
    <t>EGBE/AGODO</t>
  </si>
  <si>
    <t>IGANDO</t>
  </si>
  <si>
    <t>IPAJA NORTH</t>
  </si>
  <si>
    <t>IPAJA SOUTH</t>
  </si>
  <si>
    <t>AYOBO/IJON VILLAGE</t>
  </si>
  <si>
    <t>PLEASURE/OKE ODO</t>
  </si>
  <si>
    <t>ABULE EGBA/ALAGBADO/MEIRAN</t>
  </si>
  <si>
    <t>AMUWO ODOFIN</t>
  </si>
  <si>
    <t xml:space="preserve">AMUWO ODOFIN HOUSING ESTATE/MILE 2 </t>
  </si>
  <si>
    <t>FESTAC I</t>
  </si>
  <si>
    <t>FESTAC II</t>
  </si>
  <si>
    <t>KIRIKIRI</t>
  </si>
  <si>
    <t>AMUWO</t>
  </si>
  <si>
    <t>IJEGUN</t>
  </si>
  <si>
    <t>SATELLITE</t>
  </si>
  <si>
    <t>IREDE</t>
  </si>
  <si>
    <t>IBESHE</t>
  </si>
  <si>
    <t>IGBOLOGUN</t>
  </si>
  <si>
    <t>FESTAC III</t>
  </si>
  <si>
    <t>APAPA</t>
  </si>
  <si>
    <t>APAPA I MARINE ROAD &amp; ENVIRONS</t>
  </si>
  <si>
    <t>APAPA II LIVERPOOL RD &amp; ENVIRONS</t>
  </si>
  <si>
    <t>APAPA III CREEK ROAD/TINKAN/SNAKE ISLAND</t>
  </si>
  <si>
    <t>APAPA IV PELEWULA CRESCENT&amp; ENVIRONS</t>
  </si>
  <si>
    <t>IJORA OLOYE/DOGO</t>
  </si>
  <si>
    <t>OLODAN/OLOJOWOU/OLATOKUNBO/IGAN</t>
  </si>
  <si>
    <t>GASKIYA &amp; ENVIRONS</t>
  </si>
  <si>
    <t>AFOLABI ALASIA &amp; ENVIRONS</t>
  </si>
  <si>
    <t>MALU ROAD &amp; ENVIRONS</t>
  </si>
  <si>
    <t>SARI &amp; ENVIRONS</t>
  </si>
  <si>
    <t>BADAGRY</t>
  </si>
  <si>
    <t>POSUKOH</t>
  </si>
  <si>
    <t>AWHANJIGOH</t>
  </si>
  <si>
    <t>IBEREKO</t>
  </si>
  <si>
    <t>APA</t>
  </si>
  <si>
    <t>KETA-EAST</t>
  </si>
  <si>
    <t>IWORO/GBANKO</t>
  </si>
  <si>
    <t>AJIDO</t>
  </si>
  <si>
    <t>ILOGBO/ARAROMI</t>
  </si>
  <si>
    <t>IKOGA</t>
  </si>
  <si>
    <t>AJARA</t>
  </si>
  <si>
    <t>IYA-AFIN</t>
  </si>
  <si>
    <t>EPE</t>
  </si>
  <si>
    <t>ETITA/EBODE</t>
  </si>
  <si>
    <t>LAGBADE</t>
  </si>
  <si>
    <t>POPO-OBA</t>
  </si>
  <si>
    <t>OKE-BALOGUN</t>
  </si>
  <si>
    <t>AJAGANNABE</t>
  </si>
  <si>
    <t>ISE\IGBOGUN</t>
  </si>
  <si>
    <t>ORIBA\LADABA</t>
  </si>
  <si>
    <t>ABOMITI</t>
  </si>
  <si>
    <t>AGBOWA</t>
  </si>
  <si>
    <t>AGBOWA\IKOSI</t>
  </si>
  <si>
    <t>AGO-OWU</t>
  </si>
  <si>
    <t>ORUGBO</t>
  </si>
  <si>
    <t>12</t>
  </si>
  <si>
    <t>ILARA</t>
  </si>
  <si>
    <t>13</t>
  </si>
  <si>
    <t>IBONWON</t>
  </si>
  <si>
    <t>14</t>
  </si>
  <si>
    <t>ODO-RAGUNSIN</t>
  </si>
  <si>
    <t>15</t>
  </si>
  <si>
    <t>POKA</t>
  </si>
  <si>
    <t>16</t>
  </si>
  <si>
    <t>ODOMOLA</t>
  </si>
  <si>
    <t>17</t>
  </si>
  <si>
    <t>EJIRIN</t>
  </si>
  <si>
    <t>18</t>
  </si>
  <si>
    <t>ITOIKIN</t>
  </si>
  <si>
    <t>19</t>
  </si>
  <si>
    <t>ETI OSA</t>
  </si>
  <si>
    <t>VICTORIA ISLAND I</t>
  </si>
  <si>
    <t>VICTORIA ISLAND II</t>
  </si>
  <si>
    <t>ILASAN HOUSING ESTATE</t>
  </si>
  <si>
    <t>LEKKI/IKATE AND ENVIRON</t>
  </si>
  <si>
    <t>ILADO/ ETI-OSA AND ENVIRONS</t>
  </si>
  <si>
    <t>AJAH/SANGOTEDO</t>
  </si>
  <si>
    <t>ADO/LANGBASA/BADORE</t>
  </si>
  <si>
    <t>IKOYI I</t>
  </si>
  <si>
    <t>IKOYI II</t>
  </si>
  <si>
    <t>OBALENDE</t>
  </si>
  <si>
    <t>IBEJU LEKKI</t>
  </si>
  <si>
    <t>IBEJU I</t>
  </si>
  <si>
    <t>IBEJU II</t>
  </si>
  <si>
    <t>ORIMEDU I</t>
  </si>
  <si>
    <t>ORIMEDU II</t>
  </si>
  <si>
    <t>ORIMEDU III</t>
  </si>
  <si>
    <t>IWEREKUN I</t>
  </si>
  <si>
    <t>IWEREKUN II</t>
  </si>
  <si>
    <t xml:space="preserve">LEKKI I                       </t>
  </si>
  <si>
    <t>LEKKI II</t>
  </si>
  <si>
    <t>SIRIWON I</t>
  </si>
  <si>
    <t>SIRIWON II</t>
  </si>
  <si>
    <t>IFAKO IJAIYE</t>
  </si>
  <si>
    <t>OGBA IJAIYE</t>
  </si>
  <si>
    <t>OLD IFAKO/KARAOLE</t>
  </si>
  <si>
    <t>NEW IFAKO/OYEMEKUN</t>
  </si>
  <si>
    <t>FAGBA AKUTE ROAD</t>
  </si>
  <si>
    <t>IJU ISHAGA</t>
  </si>
  <si>
    <t>IJU/OBAWOLE</t>
  </si>
  <si>
    <t>PANADA/ABULE EGBA</t>
  </si>
  <si>
    <t>IJAIYE/OJOKORO</t>
  </si>
  <si>
    <t>IJAIYE/AGBADO/KOLLINTON</t>
  </si>
  <si>
    <t>ALAKUKO/KOLLINTON</t>
  </si>
  <si>
    <t>AJEGUNLE/AKINDE/ANIMASHAUN</t>
  </si>
  <si>
    <t>IKEJA</t>
  </si>
  <si>
    <t>ANIFOWOSHE/IKEJA</t>
  </si>
  <si>
    <t>OJODU/AGIDINGBI/OMOLE</t>
  </si>
  <si>
    <t>ALAUSA/OREGUN/OLUSOSUN</t>
  </si>
  <si>
    <t>AIRPORT/ONIPETESI/ONILEKERE</t>
  </si>
  <si>
    <t>IPODO/SERIKI ARO</t>
  </si>
  <si>
    <t>ADEKUNLE VILLAGE/ADENIYI JONES/OGBA</t>
  </si>
  <si>
    <t>OKE-IRA/AGUDA</t>
  </si>
  <si>
    <t>ONIGBONGBON</t>
  </si>
  <si>
    <t>GRA/POLICE BARRACKS</t>
  </si>
  <si>
    <t>WASIMI/OPEBI/ALLEN</t>
  </si>
  <si>
    <t>IKORODU</t>
  </si>
  <si>
    <t>ISELE II</t>
  </si>
  <si>
    <t>ISELE III</t>
  </si>
  <si>
    <t>AGA</t>
  </si>
  <si>
    <t>IPAKODO</t>
  </si>
  <si>
    <t>IMOTA I</t>
  </si>
  <si>
    <t>IMOTA II</t>
  </si>
  <si>
    <t>ISIU</t>
  </si>
  <si>
    <t>IGBOGBO I</t>
  </si>
  <si>
    <t>IGBOGBO II</t>
  </si>
  <si>
    <t>BAIYEKU/ORETA</t>
  </si>
  <si>
    <t>IJEDE I</t>
  </si>
  <si>
    <t>IJEDE II</t>
  </si>
  <si>
    <t>AGURA/IPONMI</t>
  </si>
  <si>
    <t>ODOGUNYAN</t>
  </si>
  <si>
    <t>ERIKORODO</t>
  </si>
  <si>
    <t>AGBALA</t>
  </si>
  <si>
    <t>OLORUNDA/IGBAGA</t>
  </si>
  <si>
    <t>KOSOFE</t>
  </si>
  <si>
    <t>OWORONSHOKI</t>
  </si>
  <si>
    <t>IFAKO/SOLUYI</t>
  </si>
  <si>
    <t>ANTHONY/AJAO ESTATE MENDE/ MARYLAND</t>
  </si>
  <si>
    <t>OJOTA/OGUDU</t>
  </si>
  <si>
    <t>KETU/ALAPERE/AGIDI/ORISIGUN/KOSOFE/AJELOGOAKANIMODO</t>
  </si>
  <si>
    <t>IKOSI KETU/MILE 12/AGILITI/MAIDAN</t>
  </si>
  <si>
    <t>ISHERI-OLOWO-IRA/SHANGISHA/MAGODO PHASE I &amp;II</t>
  </si>
  <si>
    <t>AGBOYI I</t>
  </si>
  <si>
    <t>AGBOYI II</t>
  </si>
  <si>
    <t>OWODE ONIRIN/AJEGUNLE/ODO OGUN</t>
  </si>
  <si>
    <t xml:space="preserve">LAGOS ISLAND </t>
  </si>
  <si>
    <t>OLOWOGBOWO / ELEGBATA</t>
  </si>
  <si>
    <t>OLUWOLE</t>
  </si>
  <si>
    <t>IDUMOTA / OKE</t>
  </si>
  <si>
    <t>OJU - OTO</t>
  </si>
  <si>
    <t>OKO - AWO</t>
  </si>
  <si>
    <t xml:space="preserve">AGARAWU / OBADINA </t>
  </si>
  <si>
    <t>IDUNTAFA</t>
  </si>
  <si>
    <t>ILUPESI</t>
  </si>
  <si>
    <t>ISALE AGBEDE</t>
  </si>
  <si>
    <t>OLOSUN</t>
  </si>
  <si>
    <t>OLUSHI / KAKAWA</t>
  </si>
  <si>
    <t>POPO - AGUDA</t>
  </si>
  <si>
    <t>ANIKANTAMO</t>
  </si>
  <si>
    <t>OKE - FAJI</t>
  </si>
  <si>
    <t>EIYEKOLE</t>
  </si>
  <si>
    <t>ONIKAN</t>
  </si>
  <si>
    <t>SANDGROUSE</t>
  </si>
  <si>
    <t>EPETEDO</t>
  </si>
  <si>
    <t>LAFIAJI / EBUTE</t>
  </si>
  <si>
    <t xml:space="preserve">LAGOS MAINLAND </t>
  </si>
  <si>
    <t>OTTO/IDDO</t>
  </si>
  <si>
    <t>OLALEYE VILLAGE</t>
  </si>
  <si>
    <t>MAKOKO/EBUTE METTA</t>
  </si>
  <si>
    <t>OYINGBO/MARKET/EBUTE MATTA</t>
  </si>
  <si>
    <t>GLOVER/EBUTE METTA</t>
  </si>
  <si>
    <t>OKO BABA</t>
  </si>
  <si>
    <t>OYADIRAN</t>
  </si>
  <si>
    <t>ALAGOMEJI</t>
  </si>
  <si>
    <t>IWAYA</t>
  </si>
  <si>
    <t>YABA/IGBOBI</t>
  </si>
  <si>
    <t xml:space="preserve">MUSHIN </t>
  </si>
  <si>
    <t>ALAKARA</t>
  </si>
  <si>
    <t>IDI ORO - ODI OLOWO</t>
  </si>
  <si>
    <t>BABALOSA</t>
  </si>
  <si>
    <t>OJUWOYE</t>
  </si>
  <si>
    <t>ILUPEJU</t>
  </si>
  <si>
    <t>OLATEJU</t>
  </si>
  <si>
    <t>KAYODE/FADEYI</t>
  </si>
  <si>
    <t>MUSHIN ATEWOLARA</t>
  </si>
  <si>
    <t>PAPA AJAO</t>
  </si>
  <si>
    <t>ILASAMAJA</t>
  </si>
  <si>
    <t>BABALOSA/IDI-ARABA</t>
  </si>
  <si>
    <t>IDI-ARABA</t>
  </si>
  <si>
    <t>ITIRE</t>
  </si>
  <si>
    <t>ILUPEJU INDUSTRIAL</t>
  </si>
  <si>
    <t>OJO</t>
  </si>
  <si>
    <t>OJO TOWN</t>
  </si>
  <si>
    <t>OKOKOMAIKO</t>
  </si>
  <si>
    <t>AJANGBADI</t>
  </si>
  <si>
    <t>IJANIKIN</t>
  </si>
  <si>
    <t>IBA</t>
  </si>
  <si>
    <t>ILOGBO</t>
  </si>
  <si>
    <t>IREWE</t>
  </si>
  <si>
    <t>TAFFI</t>
  </si>
  <si>
    <t>ETEGBIN</t>
  </si>
  <si>
    <t>IDOLUWO</t>
  </si>
  <si>
    <t>SABO-ONIBA</t>
  </si>
  <si>
    <t>OSHODI</t>
  </si>
  <si>
    <t>OSHOD/ BOLADE</t>
  </si>
  <si>
    <t>ORILE OSHODI</t>
  </si>
  <si>
    <t>ISOLO</t>
  </si>
  <si>
    <t>AJAO ESTATE</t>
  </si>
  <si>
    <t>MAFOLUKU</t>
  </si>
  <si>
    <t>SOGUNLE</t>
  </si>
  <si>
    <t>SOGUNLE/ ALASIA</t>
  </si>
  <si>
    <t>OKOTA</t>
  </si>
  <si>
    <t>ISHAGATEDO</t>
  </si>
  <si>
    <t>OKE-AFA/ EJIGBO</t>
  </si>
  <si>
    <t>SOMOLU</t>
  </si>
  <si>
    <t>ONIPANU</t>
  </si>
  <si>
    <t>PALMGROVE/IJEBUTEDO</t>
  </si>
  <si>
    <t>ALADE</t>
  </si>
  <si>
    <t>BAJULAIYE</t>
  </si>
  <si>
    <t>MAFOWOKU/PEDRO</t>
  </si>
  <si>
    <t>LADI-LAK/BARIGA</t>
  </si>
  <si>
    <t>ILAJE/AKOKA</t>
  </si>
  <si>
    <t>IGBOBI/ FADEYI</t>
  </si>
  <si>
    <t>FOLA AGORO/BAJULAYE/IGBARI-AKOKA</t>
  </si>
  <si>
    <t>GBAGADA PHASE I/OBANIKORO/PEDRO</t>
  </si>
  <si>
    <t>GBAGADA PHASE II/BARIGA/APELEHIN</t>
  </si>
  <si>
    <t>ABULE OKUTA/ILAJE/BARIGA</t>
  </si>
  <si>
    <t>SURULERE</t>
  </si>
  <si>
    <t>ORILE</t>
  </si>
  <si>
    <t>AGUDA</t>
  </si>
  <si>
    <t>IJESATEDO</t>
  </si>
  <si>
    <t>AKINHANMI/COLE</t>
  </si>
  <si>
    <t>YABA/OJUELEGBA</t>
  </si>
  <si>
    <t>IGBAJA STADIUM</t>
  </si>
  <si>
    <t>SHITTA/OGUNLANA DRIVE</t>
  </si>
  <si>
    <t>ADENIRAN OGUNSANYA</t>
  </si>
  <si>
    <t>IPONRI HOUSING ESTATE/ERIC MOORE</t>
  </si>
  <si>
    <t>COKER</t>
  </si>
  <si>
    <t>IKATE</t>
  </si>
  <si>
    <t>LAGOS STATE</t>
  </si>
  <si>
    <t>AJEROMI-IFELODUN</t>
  </si>
  <si>
    <t>INDEPENDENT NATIONAL ELECTORAL COMMISSION</t>
  </si>
  <si>
    <t>RA COMPOSITION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</si>
</sst>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Aptos Display"/>
      <family val="1"/>
      <scheme val="major"/>
    </font>
    <font>
      <b/>
      <sz val="12"/>
      <color theme="1"/>
      <name val="Aptos Display"/>
      <family val="1"/>
      <scheme val="major"/>
    </font>
    <font>
      <b/>
      <sz val="11"/>
      <color theme="1"/>
      <name val="Aptos Display"/>
      <family val="1"/>
      <scheme val="major"/>
    </font>
    <font>
      <sz val="12"/>
      <color theme="1"/>
      <name val="Aptos Display"/>
      <family val="1"/>
      <scheme val="major"/>
    </font>
    <font>
      <sz val="12"/>
      <color theme="1"/>
      <name val="Aptos Narrow"/>
      <family val="2"/>
      <scheme val="minor"/>
    </font>
    <font>
      <b/>
      <sz val="12"/>
      <color rgb="FF000000"/>
      <name val="Aptos Display"/>
      <family val="1"/>
      <scheme val="major"/>
    </font>
    <font>
      <sz val="12"/>
      <color rgb="FF000000"/>
      <name val="Aptos Display"/>
      <family val="1"/>
      <scheme val="major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/>
    <xf numFmtId="3" fontId="3" fillId="0" borderId="1" xfId="0" applyNumberFormat="1" applyFont="1" applyBorder="1" applyAlignment="1">
      <alignment horizontal="center" wrapText="1"/>
    </xf>
    <xf numFmtId="0" fontId="4" fillId="0" borderId="1" xfId="0" applyFont="1" applyBorder="1"/>
    <xf numFmtId="0" fontId="3" fillId="0" borderId="4" xfId="0" applyFont="1" applyBorder="1"/>
    <xf numFmtId="0" fontId="1" fillId="2" borderId="1" xfId="0" applyFont="1" applyFill="1" applyBorder="1"/>
    <xf numFmtId="3" fontId="1" fillId="2" borderId="1" xfId="0" applyNumberFormat="1" applyFont="1" applyFill="1" applyBorder="1"/>
    <xf numFmtId="0" fontId="4" fillId="0" borderId="5" xfId="0" applyFont="1" applyBorder="1"/>
    <xf numFmtId="0" fontId="1" fillId="0" borderId="6" xfId="0" applyFont="1" applyBorder="1"/>
    <xf numFmtId="0" fontId="5" fillId="0" borderId="1" xfId="0" applyFont="1" applyBorder="1" applyAlignment="1">
      <alignment horizontal="left" vertical="center" wrapText="1"/>
    </xf>
    <xf numFmtId="0" fontId="1" fillId="0" borderId="5" xfId="0" applyFont="1" applyBorder="1"/>
    <xf numFmtId="0" fontId="1" fillId="0" borderId="1" xfId="0" applyFont="1" applyBorder="1"/>
    <xf numFmtId="0" fontId="6" fillId="0" borderId="4" xfId="0" applyFont="1" applyBorder="1"/>
    <xf numFmtId="0" fontId="7" fillId="0" borderId="1" xfId="0" applyFont="1" applyBorder="1"/>
    <xf numFmtId="0" fontId="1" fillId="0" borderId="7" xfId="0" applyFont="1" applyBorder="1"/>
    <xf numFmtId="0" fontId="3" fillId="0" borderId="2" xfId="0" applyFont="1" applyBorder="1"/>
    <xf numFmtId="0" fontId="1" fillId="0" borderId="4" xfId="0" applyFont="1" applyBorder="1"/>
    <xf numFmtId="0" fontId="1" fillId="0" borderId="2" xfId="0" applyFont="1" applyBorder="1"/>
    <xf numFmtId="0" fontId="0" fillId="0" borderId="1" xfId="0" applyBorder="1" applyAlignment="1">
      <alignment horizontal="left" vertical="center" wrapText="1"/>
    </xf>
    <xf numFmtId="0" fontId="1" fillId="0" borderId="8" xfId="0" applyFont="1" applyBorder="1"/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wrapText="1"/>
    </xf>
    <xf numFmtId="0" fontId="1" fillId="0" borderId="9" xfId="0" applyFont="1" applyBorder="1"/>
    <xf numFmtId="0" fontId="2" fillId="0" borderId="10" xfId="0" applyFont="1" applyBorder="1"/>
    <xf numFmtId="0" fontId="0" fillId="0" borderId="1" xfId="0" applyBorder="1"/>
    <xf numFmtId="0" fontId="1" fillId="0" borderId="1" xfId="0" applyFont="1" applyBorder="1" applyAlignment="1">
      <alignment wrapText="1"/>
    </xf>
    <xf numFmtId="0" fontId="6" fillId="0" borderId="11" xfId="0" applyFont="1" applyBorder="1"/>
    <xf numFmtId="0" fontId="0" fillId="0" borderId="1" xfId="0" applyBorder="1" applyAlignment="1">
      <alignment horizontal="left"/>
    </xf>
    <xf numFmtId="0" fontId="2" fillId="0" borderId="8" xfId="0" applyFont="1" applyBorder="1"/>
    <xf numFmtId="0" fontId="3" fillId="0" borderId="11" xfId="0" applyFont="1" applyBorder="1"/>
    <xf numFmtId="0" fontId="0" fillId="0" borderId="1" xfId="0" applyBorder="1" applyAlignment="1">
      <alignment vertical="top" wrapText="1"/>
    </xf>
    <xf numFmtId="0" fontId="5" fillId="0" borderId="1" xfId="0" applyFont="1" applyBorder="1"/>
    <xf numFmtId="0" fontId="3" fillId="0" borderId="7" xfId="0" applyFont="1" applyBorder="1"/>
    <xf numFmtId="0" fontId="3" fillId="0" borderId="0" xfId="0" applyFont="1"/>
    <xf numFmtId="0" fontId="2" fillId="0" borderId="5" xfId="0" applyFont="1" applyBorder="1"/>
    <xf numFmtId="0" fontId="2" fillId="0" borderId="7" xfId="0" applyFont="1" applyBorder="1"/>
    <xf numFmtId="0" fontId="2" fillId="0" borderId="0" xfId="0" applyFont="1"/>
    <xf numFmtId="0" fontId="2" fillId="0" borderId="4" xfId="0" applyFont="1" applyBorder="1"/>
    <xf numFmtId="0" fontId="1" fillId="0" borderId="1" xfId="0" quotePrefix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0" fontId="1" fillId="0" borderId="3" xfId="0" quotePrefix="1" applyFont="1" applyBorder="1" applyAlignment="1">
      <alignment horizontal="center"/>
    </xf>
    <xf numFmtId="3" fontId="1" fillId="0" borderId="3" xfId="0" applyNumberFormat="1" applyFont="1" applyBorder="1" applyAlignment="1">
      <alignment horizontal="center"/>
    </xf>
    <xf numFmtId="0" fontId="1" fillId="0" borderId="8" xfId="0" quotePrefix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4" xfId="0" quotePrefix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3" fontId="1" fillId="2" borderId="0" xfId="0" applyNumberFormat="1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77B82-EE5E-4AF0-BD70-C6CBB9E4FD66}">
  <dimension ref="A1:E310"/>
  <sheetViews>
    <sheetView tabSelected="1" workbookViewId="0">
      <selection activeCell="K12" sqref="K12"/>
    </sheetView>
  </sheetViews>
  <sheetFormatPr defaultColWidth="9.140625" defaultRowHeight="15" x14ac:dyDescent="0.25"/>
  <cols>
    <col min="1" max="1" width="5.85546875" style="1" customWidth="1"/>
    <col min="2" max="2" width="23.42578125" style="1" customWidth="1"/>
    <col min="3" max="3" width="45.42578125" style="1" customWidth="1"/>
    <col min="4" max="4" width="9.85546875" style="1" customWidth="1"/>
    <col min="5" max="5" width="12" style="2" customWidth="1"/>
    <col min="6" max="16384" width="9.140625" style="1"/>
  </cols>
  <sheetData>
    <row r="1" spans="1:5" ht="18.75" x14ac:dyDescent="0.3">
      <c r="A1" s="66" t="s">
        <v>288</v>
      </c>
      <c r="B1" s="66"/>
      <c r="C1" s="66"/>
      <c r="D1" s="66"/>
      <c r="E1" s="66"/>
    </row>
    <row r="2" spans="1:5" customFormat="1" ht="18.75" x14ac:dyDescent="0.3">
      <c r="A2" s="66" t="s">
        <v>286</v>
      </c>
      <c r="B2" s="66"/>
      <c r="C2" s="66"/>
      <c r="D2" s="66"/>
      <c r="E2" s="66"/>
    </row>
    <row r="3" spans="1:5" customFormat="1" ht="15.75" customHeight="1" x14ac:dyDescent="0.25">
      <c r="A3" s="67" t="s">
        <v>289</v>
      </c>
      <c r="B3" s="67"/>
      <c r="C3" s="67"/>
      <c r="D3" s="67"/>
      <c r="E3" s="67"/>
    </row>
    <row r="4" spans="1:5" ht="35.25" customHeight="1" x14ac:dyDescent="0.25">
      <c r="A4" s="3" t="s">
        <v>0</v>
      </c>
      <c r="B4" s="4" t="s">
        <v>1</v>
      </c>
      <c r="C4" s="5" t="s">
        <v>2</v>
      </c>
      <c r="D4" s="6" t="s">
        <v>3</v>
      </c>
      <c r="E4" s="7" t="s">
        <v>4</v>
      </c>
    </row>
    <row r="5" spans="1:5" ht="15.75" x14ac:dyDescent="0.25">
      <c r="A5" s="8">
        <v>1</v>
      </c>
      <c r="B5" s="9" t="s">
        <v>5</v>
      </c>
      <c r="C5" s="6"/>
      <c r="D5" s="10"/>
      <c r="E5" s="11"/>
    </row>
    <row r="6" spans="1:5" ht="15.75" x14ac:dyDescent="0.25">
      <c r="A6" s="12"/>
      <c r="B6" s="13"/>
      <c r="C6" s="14" t="s">
        <v>6</v>
      </c>
      <c r="D6" s="43" t="s">
        <v>7</v>
      </c>
      <c r="E6" s="44">
        <v>58</v>
      </c>
    </row>
    <row r="7" spans="1:5" ht="15.75" x14ac:dyDescent="0.25">
      <c r="A7" s="12"/>
      <c r="B7" s="13"/>
      <c r="C7" s="14" t="s">
        <v>8</v>
      </c>
      <c r="D7" s="43" t="s">
        <v>9</v>
      </c>
      <c r="E7" s="44">
        <v>39</v>
      </c>
    </row>
    <row r="8" spans="1:5" ht="15.75" x14ac:dyDescent="0.25">
      <c r="A8" s="12"/>
      <c r="B8" s="13"/>
      <c r="C8" s="14" t="s">
        <v>10</v>
      </c>
      <c r="D8" s="43" t="s">
        <v>11</v>
      </c>
      <c r="E8" s="44">
        <v>95</v>
      </c>
    </row>
    <row r="9" spans="1:5" ht="15.75" x14ac:dyDescent="0.25">
      <c r="A9" s="12"/>
      <c r="B9" s="13"/>
      <c r="C9" s="14" t="s">
        <v>12</v>
      </c>
      <c r="D9" s="43" t="s">
        <v>13</v>
      </c>
      <c r="E9" s="44">
        <v>91</v>
      </c>
    </row>
    <row r="10" spans="1:5" ht="15.75" x14ac:dyDescent="0.25">
      <c r="A10" s="12"/>
      <c r="B10" s="13"/>
      <c r="C10" s="14" t="s">
        <v>14</v>
      </c>
      <c r="D10" s="43" t="s">
        <v>15</v>
      </c>
      <c r="E10" s="44">
        <v>43</v>
      </c>
    </row>
    <row r="11" spans="1:5" ht="15.75" x14ac:dyDescent="0.25">
      <c r="A11" s="12"/>
      <c r="B11" s="13"/>
      <c r="C11" s="14" t="s">
        <v>16</v>
      </c>
      <c r="D11" s="43" t="s">
        <v>17</v>
      </c>
      <c r="E11" s="44">
        <v>75</v>
      </c>
    </row>
    <row r="12" spans="1:5" ht="15.75" x14ac:dyDescent="0.25">
      <c r="A12" s="12"/>
      <c r="B12" s="13"/>
      <c r="C12" s="14" t="s">
        <v>18</v>
      </c>
      <c r="D12" s="43" t="s">
        <v>19</v>
      </c>
      <c r="E12" s="44">
        <v>58</v>
      </c>
    </row>
    <row r="13" spans="1:5" ht="15.75" x14ac:dyDescent="0.25">
      <c r="A13" s="12"/>
      <c r="B13" s="13"/>
      <c r="C13" s="14" t="s">
        <v>20</v>
      </c>
      <c r="D13" s="43" t="s">
        <v>21</v>
      </c>
      <c r="E13" s="44">
        <v>49</v>
      </c>
    </row>
    <row r="14" spans="1:5" ht="15.75" x14ac:dyDescent="0.25">
      <c r="A14" s="12"/>
      <c r="B14" s="13"/>
      <c r="C14" s="14" t="s">
        <v>22</v>
      </c>
      <c r="D14" s="43" t="s">
        <v>23</v>
      </c>
      <c r="E14" s="44">
        <v>64</v>
      </c>
    </row>
    <row r="15" spans="1:5" ht="15.75" x14ac:dyDescent="0.25">
      <c r="A15" s="12"/>
      <c r="B15" s="13"/>
      <c r="C15" s="14" t="s">
        <v>24</v>
      </c>
      <c r="D15" s="43" t="s">
        <v>25</v>
      </c>
      <c r="E15" s="44">
        <v>69</v>
      </c>
    </row>
    <row r="16" spans="1:5" ht="15.75" x14ac:dyDescent="0.25">
      <c r="A16" s="12"/>
      <c r="B16" s="13"/>
      <c r="C16" s="14" t="s">
        <v>26</v>
      </c>
      <c r="D16" s="43" t="s">
        <v>27</v>
      </c>
      <c r="E16" s="44">
        <v>55</v>
      </c>
    </row>
    <row r="17" spans="1:5" ht="15.75" x14ac:dyDescent="0.25">
      <c r="A17" s="12"/>
      <c r="B17" s="13"/>
      <c r="C17" s="15" t="s">
        <v>28</v>
      </c>
      <c r="D17" s="45" t="s">
        <v>29</v>
      </c>
      <c r="E17" s="46">
        <f>SUM(E6:E16)</f>
        <v>696</v>
      </c>
    </row>
    <row r="18" spans="1:5" ht="15.75" x14ac:dyDescent="0.25">
      <c r="A18" s="12"/>
      <c r="B18" s="13"/>
      <c r="C18" s="15"/>
      <c r="D18" s="45"/>
      <c r="E18" s="46"/>
    </row>
    <row r="19" spans="1:5" ht="15.75" x14ac:dyDescent="0.25">
      <c r="A19" s="8">
        <v>2</v>
      </c>
      <c r="B19" s="9" t="s">
        <v>287</v>
      </c>
      <c r="C19" s="3" t="s">
        <v>30</v>
      </c>
      <c r="D19" s="47"/>
      <c r="E19" s="48"/>
    </row>
    <row r="20" spans="1:5" ht="14.25" customHeight="1" x14ac:dyDescent="0.25">
      <c r="A20" s="8"/>
      <c r="B20" s="9"/>
      <c r="C20" s="16" t="s">
        <v>31</v>
      </c>
      <c r="D20" s="43" t="s">
        <v>7</v>
      </c>
      <c r="E20" s="44">
        <v>87</v>
      </c>
    </row>
    <row r="21" spans="1:5" ht="14.25" customHeight="1" x14ac:dyDescent="0.25">
      <c r="A21" s="12"/>
      <c r="B21" s="13"/>
      <c r="C21" s="16" t="s">
        <v>32</v>
      </c>
      <c r="D21" s="43" t="s">
        <v>9</v>
      </c>
      <c r="E21" s="44">
        <v>67</v>
      </c>
    </row>
    <row r="22" spans="1:5" ht="14.25" customHeight="1" x14ac:dyDescent="0.25">
      <c r="A22" s="12"/>
      <c r="B22" s="13"/>
      <c r="C22" s="16" t="s">
        <v>33</v>
      </c>
      <c r="D22" s="43" t="s">
        <v>11</v>
      </c>
      <c r="E22" s="44">
        <v>53</v>
      </c>
    </row>
    <row r="23" spans="1:5" ht="14.25" customHeight="1" x14ac:dyDescent="0.25">
      <c r="A23" s="12"/>
      <c r="B23" s="13"/>
      <c r="C23" s="16" t="s">
        <v>34</v>
      </c>
      <c r="D23" s="43" t="s">
        <v>13</v>
      </c>
      <c r="E23" s="44">
        <v>61</v>
      </c>
    </row>
    <row r="24" spans="1:5" ht="14.25" customHeight="1" x14ac:dyDescent="0.25">
      <c r="A24" s="12"/>
      <c r="B24" s="13"/>
      <c r="C24" s="16" t="s">
        <v>35</v>
      </c>
      <c r="D24" s="43" t="s">
        <v>15</v>
      </c>
      <c r="E24" s="44">
        <v>102</v>
      </c>
    </row>
    <row r="25" spans="1:5" ht="14.25" customHeight="1" x14ac:dyDescent="0.25">
      <c r="A25" s="12"/>
      <c r="B25" s="13"/>
      <c r="C25" s="16" t="s">
        <v>36</v>
      </c>
      <c r="D25" s="43" t="s">
        <v>17</v>
      </c>
      <c r="E25" s="44">
        <v>39</v>
      </c>
    </row>
    <row r="26" spans="1:5" ht="14.25" customHeight="1" x14ac:dyDescent="0.25">
      <c r="A26" s="12"/>
      <c r="B26" s="13"/>
      <c r="C26" s="16" t="s">
        <v>37</v>
      </c>
      <c r="D26" s="43" t="s">
        <v>19</v>
      </c>
      <c r="E26" s="44">
        <v>87</v>
      </c>
    </row>
    <row r="27" spans="1:5" ht="14.25" customHeight="1" x14ac:dyDescent="0.25">
      <c r="A27" s="12"/>
      <c r="B27" s="13"/>
      <c r="C27" s="16" t="s">
        <v>38</v>
      </c>
      <c r="D27" s="43" t="s">
        <v>21</v>
      </c>
      <c r="E27" s="44">
        <v>68</v>
      </c>
    </row>
    <row r="28" spans="1:5" ht="14.25" customHeight="1" x14ac:dyDescent="0.25">
      <c r="A28" s="12"/>
      <c r="B28" s="13"/>
      <c r="C28" s="16" t="s">
        <v>39</v>
      </c>
      <c r="D28" s="43" t="s">
        <v>23</v>
      </c>
      <c r="E28" s="44">
        <v>60</v>
      </c>
    </row>
    <row r="29" spans="1:5" ht="14.25" customHeight="1" x14ac:dyDescent="0.25">
      <c r="A29" s="12"/>
      <c r="B29" s="13"/>
      <c r="C29" s="16" t="s">
        <v>40</v>
      </c>
      <c r="D29" s="43" t="s">
        <v>25</v>
      </c>
      <c r="E29" s="44">
        <v>69</v>
      </c>
    </row>
    <row r="30" spans="1:5" ht="14.25" customHeight="1" x14ac:dyDescent="0.25">
      <c r="A30" s="12"/>
      <c r="B30" s="13"/>
      <c r="C30" s="16" t="s">
        <v>41</v>
      </c>
      <c r="D30" s="43" t="s">
        <v>27</v>
      </c>
      <c r="E30" s="44">
        <v>41</v>
      </c>
    </row>
    <row r="31" spans="1:5" ht="14.25" customHeight="1" x14ac:dyDescent="0.25">
      <c r="A31" s="12"/>
      <c r="B31" s="13"/>
      <c r="C31" s="15"/>
      <c r="D31" s="45" t="s">
        <v>29</v>
      </c>
      <c r="E31" s="46">
        <f>SUM(E20:E30)</f>
        <v>734</v>
      </c>
    </row>
    <row r="32" spans="1:5" ht="14.25" customHeight="1" x14ac:dyDescent="0.25">
      <c r="A32" s="12"/>
      <c r="B32" s="13"/>
      <c r="C32" s="15"/>
      <c r="D32" s="45"/>
      <c r="E32" s="46"/>
    </row>
    <row r="33" spans="1:5" ht="15.75" x14ac:dyDescent="0.25">
      <c r="A33" s="8">
        <v>3</v>
      </c>
      <c r="B33" s="17" t="s">
        <v>42</v>
      </c>
      <c r="C33" s="5" t="s">
        <v>30</v>
      </c>
      <c r="D33" s="47"/>
      <c r="E33" s="48"/>
    </row>
    <row r="34" spans="1:5" ht="15.75" x14ac:dyDescent="0.25">
      <c r="A34" s="8"/>
      <c r="B34" s="17"/>
      <c r="C34" s="18" t="s">
        <v>43</v>
      </c>
      <c r="D34" s="43" t="s">
        <v>7</v>
      </c>
      <c r="E34" s="44">
        <v>142</v>
      </c>
    </row>
    <row r="35" spans="1:5" ht="14.25" customHeight="1" x14ac:dyDescent="0.25">
      <c r="A35" s="12"/>
      <c r="B35" s="13"/>
      <c r="C35" s="18" t="s">
        <v>44</v>
      </c>
      <c r="D35" s="43" t="s">
        <v>9</v>
      </c>
      <c r="E35" s="44">
        <v>117</v>
      </c>
    </row>
    <row r="36" spans="1:5" ht="14.25" customHeight="1" x14ac:dyDescent="0.25">
      <c r="A36" s="12"/>
      <c r="B36" s="13"/>
      <c r="C36" s="18" t="s">
        <v>45</v>
      </c>
      <c r="D36" s="43" t="s">
        <v>11</v>
      </c>
      <c r="E36" s="44">
        <v>134</v>
      </c>
    </row>
    <row r="37" spans="1:5" ht="14.25" customHeight="1" x14ac:dyDescent="0.25">
      <c r="A37" s="12"/>
      <c r="B37" s="13"/>
      <c r="C37" s="18" t="s">
        <v>46</v>
      </c>
      <c r="D37" s="43" t="s">
        <v>13</v>
      </c>
      <c r="E37" s="44">
        <v>282</v>
      </c>
    </row>
    <row r="38" spans="1:5" ht="14.25" customHeight="1" x14ac:dyDescent="0.25">
      <c r="A38" s="12"/>
      <c r="B38" s="13"/>
      <c r="C38" s="18" t="s">
        <v>47</v>
      </c>
      <c r="D38" s="43" t="s">
        <v>15</v>
      </c>
      <c r="E38" s="44">
        <v>114</v>
      </c>
    </row>
    <row r="39" spans="1:5" ht="14.25" customHeight="1" x14ac:dyDescent="0.25">
      <c r="A39" s="12"/>
      <c r="B39" s="13"/>
      <c r="C39" s="18" t="s">
        <v>48</v>
      </c>
      <c r="D39" s="43" t="s">
        <v>17</v>
      </c>
      <c r="E39" s="44">
        <v>120</v>
      </c>
    </row>
    <row r="40" spans="1:5" ht="14.25" customHeight="1" x14ac:dyDescent="0.25">
      <c r="A40" s="12"/>
      <c r="B40" s="13"/>
      <c r="C40" s="18" t="s">
        <v>49</v>
      </c>
      <c r="D40" s="43" t="s">
        <v>19</v>
      </c>
      <c r="E40" s="44">
        <v>163</v>
      </c>
    </row>
    <row r="41" spans="1:5" ht="14.25" customHeight="1" x14ac:dyDescent="0.25">
      <c r="A41" s="12"/>
      <c r="B41" s="13"/>
      <c r="C41" s="18" t="s">
        <v>50</v>
      </c>
      <c r="D41" s="43" t="s">
        <v>21</v>
      </c>
      <c r="E41" s="44">
        <v>118</v>
      </c>
    </row>
    <row r="42" spans="1:5" ht="14.25" customHeight="1" x14ac:dyDescent="0.25">
      <c r="A42" s="12"/>
      <c r="B42" s="13"/>
      <c r="C42" s="18" t="s">
        <v>51</v>
      </c>
      <c r="D42" s="43" t="s">
        <v>23</v>
      </c>
      <c r="E42" s="44">
        <v>68</v>
      </c>
    </row>
    <row r="43" spans="1:5" ht="14.25" customHeight="1" x14ac:dyDescent="0.25">
      <c r="A43" s="12"/>
      <c r="B43" s="13"/>
      <c r="C43" s="18" t="s">
        <v>52</v>
      </c>
      <c r="D43" s="43" t="s">
        <v>25</v>
      </c>
      <c r="E43" s="44">
        <v>105</v>
      </c>
    </row>
    <row r="44" spans="1:5" ht="14.25" customHeight="1" x14ac:dyDescent="0.25">
      <c r="A44" s="12"/>
      <c r="B44" s="13"/>
      <c r="C44" s="16" t="s">
        <v>53</v>
      </c>
      <c r="D44" s="49" t="s">
        <v>27</v>
      </c>
      <c r="E44" s="50">
        <v>182</v>
      </c>
    </row>
    <row r="45" spans="1:5" ht="14.25" customHeight="1" x14ac:dyDescent="0.25">
      <c r="A45" s="12"/>
      <c r="B45" s="19"/>
      <c r="C45" s="16"/>
      <c r="D45" s="45" t="s">
        <v>29</v>
      </c>
      <c r="E45" s="46">
        <f>SUM(E34:E44)</f>
        <v>1545</v>
      </c>
    </row>
    <row r="46" spans="1:5" ht="14.25" customHeight="1" x14ac:dyDescent="0.25">
      <c r="A46" s="12"/>
      <c r="B46" s="13"/>
      <c r="C46" s="16"/>
      <c r="D46" s="45"/>
      <c r="E46" s="46"/>
    </row>
    <row r="47" spans="1:5" ht="15.75" x14ac:dyDescent="0.25">
      <c r="A47" s="8">
        <v>4</v>
      </c>
      <c r="B47" s="9" t="s">
        <v>54</v>
      </c>
      <c r="C47" s="3" t="s">
        <v>30</v>
      </c>
      <c r="D47" s="47"/>
      <c r="E47" s="48"/>
    </row>
    <row r="48" spans="1:5" ht="14.25" customHeight="1" x14ac:dyDescent="0.25">
      <c r="A48" s="8"/>
      <c r="B48" s="9"/>
      <c r="C48" s="16" t="s">
        <v>55</v>
      </c>
      <c r="D48" s="43" t="s">
        <v>7</v>
      </c>
      <c r="E48" s="44">
        <v>81</v>
      </c>
    </row>
    <row r="49" spans="1:5" ht="14.25" customHeight="1" x14ac:dyDescent="0.25">
      <c r="A49" s="12"/>
      <c r="B49" s="13"/>
      <c r="C49" s="16" t="s">
        <v>56</v>
      </c>
      <c r="D49" s="43" t="s">
        <v>9</v>
      </c>
      <c r="E49" s="44">
        <v>65</v>
      </c>
    </row>
    <row r="50" spans="1:5" ht="14.25" customHeight="1" x14ac:dyDescent="0.25">
      <c r="A50" s="12"/>
      <c r="B50" s="13"/>
      <c r="C50" s="16" t="s">
        <v>57</v>
      </c>
      <c r="D50" s="43" t="s">
        <v>11</v>
      </c>
      <c r="E50" s="44">
        <v>80</v>
      </c>
    </row>
    <row r="51" spans="1:5" ht="14.25" customHeight="1" x14ac:dyDescent="0.25">
      <c r="A51" s="12"/>
      <c r="B51" s="13"/>
      <c r="C51" s="16" t="s">
        <v>58</v>
      </c>
      <c r="D51" s="43" t="s">
        <v>13</v>
      </c>
      <c r="E51" s="44">
        <v>59</v>
      </c>
    </row>
    <row r="52" spans="1:5" ht="14.25" customHeight="1" x14ac:dyDescent="0.25">
      <c r="A52" s="12"/>
      <c r="B52" s="13"/>
      <c r="C52" s="16" t="s">
        <v>59</v>
      </c>
      <c r="D52" s="43" t="s">
        <v>15</v>
      </c>
      <c r="E52" s="44">
        <v>109</v>
      </c>
    </row>
    <row r="53" spans="1:5" ht="15.75" x14ac:dyDescent="0.25">
      <c r="A53" s="12"/>
      <c r="B53" s="13"/>
      <c r="C53" s="16" t="s">
        <v>60</v>
      </c>
      <c r="D53" s="43" t="s">
        <v>17</v>
      </c>
      <c r="E53" s="44">
        <v>44</v>
      </c>
    </row>
    <row r="54" spans="1:5" ht="15.75" x14ac:dyDescent="0.25">
      <c r="A54" s="12"/>
      <c r="B54" s="13"/>
      <c r="C54" s="16" t="s">
        <v>61</v>
      </c>
      <c r="D54" s="43" t="s">
        <v>19</v>
      </c>
      <c r="E54" s="44">
        <v>80</v>
      </c>
    </row>
    <row r="55" spans="1:5" ht="15.75" x14ac:dyDescent="0.25">
      <c r="A55" s="12"/>
      <c r="B55" s="13"/>
      <c r="C55" s="16" t="s">
        <v>62</v>
      </c>
      <c r="D55" s="43" t="s">
        <v>21</v>
      </c>
      <c r="E55" s="44">
        <v>14</v>
      </c>
    </row>
    <row r="56" spans="1:5" ht="15.75" x14ac:dyDescent="0.25">
      <c r="A56" s="12"/>
      <c r="B56" s="13"/>
      <c r="C56" s="16" t="s">
        <v>63</v>
      </c>
      <c r="D56" s="43" t="s">
        <v>23</v>
      </c>
      <c r="E56" s="44">
        <v>21</v>
      </c>
    </row>
    <row r="57" spans="1:5" ht="15.75" x14ac:dyDescent="0.25">
      <c r="A57" s="12"/>
      <c r="B57" s="13"/>
      <c r="C57" s="16" t="s">
        <v>64</v>
      </c>
      <c r="D57" s="43" t="s">
        <v>25</v>
      </c>
      <c r="E57" s="44">
        <v>28</v>
      </c>
    </row>
    <row r="58" spans="1:5" ht="15.75" x14ac:dyDescent="0.25">
      <c r="A58" s="12"/>
      <c r="B58" s="13"/>
      <c r="C58" s="16" t="s">
        <v>65</v>
      </c>
      <c r="D58" s="43" t="s">
        <v>27</v>
      </c>
      <c r="E58" s="44">
        <v>56</v>
      </c>
    </row>
    <row r="59" spans="1:5" ht="15.75" x14ac:dyDescent="0.25">
      <c r="A59" s="12"/>
      <c r="B59" s="13"/>
      <c r="C59" s="16"/>
      <c r="D59" s="45" t="s">
        <v>29</v>
      </c>
      <c r="E59" s="46">
        <f>SUM(E48:E58)</f>
        <v>637</v>
      </c>
    </row>
    <row r="60" spans="1:5" ht="15.75" x14ac:dyDescent="0.25">
      <c r="A60" s="12"/>
      <c r="B60" s="13"/>
      <c r="C60" s="16"/>
      <c r="D60" s="45"/>
      <c r="E60" s="46"/>
    </row>
    <row r="61" spans="1:5" ht="15.75" x14ac:dyDescent="0.25">
      <c r="A61" s="8">
        <v>5</v>
      </c>
      <c r="B61" s="9" t="s">
        <v>66</v>
      </c>
      <c r="C61" s="3" t="s">
        <v>30</v>
      </c>
      <c r="D61" s="47"/>
      <c r="E61" s="48"/>
    </row>
    <row r="62" spans="1:5" ht="15.75" x14ac:dyDescent="0.25">
      <c r="A62" s="8"/>
      <c r="B62" s="9"/>
      <c r="C62" s="16" t="s">
        <v>67</v>
      </c>
      <c r="D62" s="43" t="s">
        <v>7</v>
      </c>
      <c r="E62" s="44">
        <v>39</v>
      </c>
    </row>
    <row r="63" spans="1:5" ht="15.75" x14ac:dyDescent="0.25">
      <c r="A63" s="12"/>
      <c r="B63" s="13"/>
      <c r="C63" s="16" t="s">
        <v>68</v>
      </c>
      <c r="D63" s="43" t="s">
        <v>9</v>
      </c>
      <c r="E63" s="44">
        <v>24</v>
      </c>
    </row>
    <row r="64" spans="1:5" ht="15.75" x14ac:dyDescent="0.25">
      <c r="A64" s="12"/>
      <c r="B64" s="13"/>
      <c r="C64" s="16" t="s">
        <v>69</v>
      </c>
      <c r="D64" s="43" t="s">
        <v>11</v>
      </c>
      <c r="E64" s="44">
        <v>25</v>
      </c>
    </row>
    <row r="65" spans="1:5" ht="15.75" x14ac:dyDescent="0.25">
      <c r="A65" s="12"/>
      <c r="B65" s="13"/>
      <c r="C65" s="16" t="s">
        <v>70</v>
      </c>
      <c r="D65" s="43" t="s">
        <v>13</v>
      </c>
      <c r="E65" s="44">
        <v>32</v>
      </c>
    </row>
    <row r="66" spans="1:5" ht="15.75" x14ac:dyDescent="0.25">
      <c r="A66" s="12"/>
      <c r="B66" s="13"/>
      <c r="C66" s="16" t="s">
        <v>71</v>
      </c>
      <c r="D66" s="43" t="s">
        <v>15</v>
      </c>
      <c r="E66" s="44">
        <v>29</v>
      </c>
    </row>
    <row r="67" spans="1:5" ht="15.75" x14ac:dyDescent="0.25">
      <c r="A67" s="12"/>
      <c r="B67" s="13"/>
      <c r="C67" s="16" t="s">
        <v>72</v>
      </c>
      <c r="D67" s="43" t="s">
        <v>17</v>
      </c>
      <c r="E67" s="44">
        <v>58</v>
      </c>
    </row>
    <row r="68" spans="1:5" ht="15.75" x14ac:dyDescent="0.25">
      <c r="A68" s="12"/>
      <c r="B68" s="13"/>
      <c r="C68" s="16" t="s">
        <v>73</v>
      </c>
      <c r="D68" s="43" t="s">
        <v>19</v>
      </c>
      <c r="E68" s="44">
        <v>29</v>
      </c>
    </row>
    <row r="69" spans="1:5" ht="15.75" x14ac:dyDescent="0.25">
      <c r="A69" s="12"/>
      <c r="B69" s="13"/>
      <c r="C69" s="16" t="s">
        <v>74</v>
      </c>
      <c r="D69" s="43" t="s">
        <v>21</v>
      </c>
      <c r="E69" s="44">
        <v>57</v>
      </c>
    </row>
    <row r="70" spans="1:5" ht="15.75" x14ac:dyDescent="0.25">
      <c r="A70" s="12"/>
      <c r="B70" s="13"/>
      <c r="C70" s="16" t="s">
        <v>75</v>
      </c>
      <c r="D70" s="43" t="s">
        <v>23</v>
      </c>
      <c r="E70" s="44">
        <v>33</v>
      </c>
    </row>
    <row r="71" spans="1:5" ht="15.75" x14ac:dyDescent="0.25">
      <c r="A71" s="12"/>
      <c r="B71" s="19"/>
      <c r="C71" s="16" t="s">
        <v>76</v>
      </c>
      <c r="D71" s="43" t="s">
        <v>25</v>
      </c>
      <c r="E71" s="44">
        <v>48</v>
      </c>
    </row>
    <row r="72" spans="1:5" ht="15.75" x14ac:dyDescent="0.25">
      <c r="A72" s="12"/>
      <c r="B72" s="9"/>
      <c r="C72" s="9"/>
      <c r="D72" s="45" t="s">
        <v>29</v>
      </c>
      <c r="E72" s="46">
        <f>SUM(E62:E71)</f>
        <v>374</v>
      </c>
    </row>
    <row r="73" spans="1:5" ht="15.75" x14ac:dyDescent="0.25">
      <c r="A73" s="12"/>
      <c r="B73" s="20"/>
      <c r="C73" s="9"/>
      <c r="D73" s="45"/>
      <c r="E73" s="46"/>
    </row>
    <row r="74" spans="1:5" ht="15.75" x14ac:dyDescent="0.25">
      <c r="A74" s="8">
        <v>6</v>
      </c>
      <c r="B74" s="9" t="s">
        <v>77</v>
      </c>
      <c r="C74" s="3" t="s">
        <v>30</v>
      </c>
      <c r="D74" s="47"/>
      <c r="E74" s="48"/>
    </row>
    <row r="75" spans="1:5" ht="15.75" x14ac:dyDescent="0.25">
      <c r="A75" s="8"/>
      <c r="B75" s="9"/>
      <c r="C75" s="16" t="s">
        <v>78</v>
      </c>
      <c r="D75" s="51" t="s">
        <v>7</v>
      </c>
      <c r="E75" s="44">
        <v>43</v>
      </c>
    </row>
    <row r="76" spans="1:5" ht="15.75" x14ac:dyDescent="0.25">
      <c r="A76" s="12"/>
      <c r="C76" s="16" t="s">
        <v>79</v>
      </c>
      <c r="D76" s="51" t="s">
        <v>9</v>
      </c>
      <c r="E76" s="44">
        <v>32</v>
      </c>
    </row>
    <row r="77" spans="1:5" ht="15.75" x14ac:dyDescent="0.25">
      <c r="A77" s="12"/>
      <c r="C77" s="16" t="s">
        <v>80</v>
      </c>
      <c r="D77" s="51" t="s">
        <v>11</v>
      </c>
      <c r="E77" s="44">
        <v>64</v>
      </c>
    </row>
    <row r="78" spans="1:5" ht="15.75" x14ac:dyDescent="0.25">
      <c r="A78" s="12"/>
      <c r="C78" s="16" t="s">
        <v>81</v>
      </c>
      <c r="D78" s="51" t="s">
        <v>13</v>
      </c>
      <c r="E78" s="44">
        <v>19</v>
      </c>
    </row>
    <row r="79" spans="1:5" ht="15.75" x14ac:dyDescent="0.25">
      <c r="A79" s="12"/>
      <c r="C79" s="16" t="s">
        <v>82</v>
      </c>
      <c r="D79" s="51" t="s">
        <v>15</v>
      </c>
      <c r="E79" s="44">
        <v>45</v>
      </c>
    </row>
    <row r="80" spans="1:5" ht="15.75" x14ac:dyDescent="0.25">
      <c r="A80" s="12"/>
      <c r="C80" s="16" t="s">
        <v>83</v>
      </c>
      <c r="D80" s="51" t="s">
        <v>17</v>
      </c>
      <c r="E80" s="44">
        <v>29</v>
      </c>
    </row>
    <row r="81" spans="1:5" ht="15.75" x14ac:dyDescent="0.25">
      <c r="A81" s="12"/>
      <c r="C81" s="16" t="s">
        <v>84</v>
      </c>
      <c r="D81" s="51" t="s">
        <v>19</v>
      </c>
      <c r="E81" s="44">
        <v>15</v>
      </c>
    </row>
    <row r="82" spans="1:5" ht="15.75" x14ac:dyDescent="0.25">
      <c r="A82" s="12"/>
      <c r="C82" s="16" t="s">
        <v>85</v>
      </c>
      <c r="D82" s="51" t="s">
        <v>21</v>
      </c>
      <c r="E82" s="44">
        <v>77</v>
      </c>
    </row>
    <row r="83" spans="1:5" ht="15.75" x14ac:dyDescent="0.25">
      <c r="A83" s="12"/>
      <c r="C83" s="16" t="s">
        <v>86</v>
      </c>
      <c r="D83" s="51" t="s">
        <v>23</v>
      </c>
      <c r="E83" s="44">
        <v>32</v>
      </c>
    </row>
    <row r="84" spans="1:5" ht="15.75" x14ac:dyDescent="0.25">
      <c r="A84" s="12"/>
      <c r="C84" s="16" t="s">
        <v>87</v>
      </c>
      <c r="D84" s="51" t="s">
        <v>25</v>
      </c>
      <c r="E84" s="44">
        <v>45</v>
      </c>
    </row>
    <row r="85" spans="1:5" ht="15.75" x14ac:dyDescent="0.25">
      <c r="A85" s="12"/>
      <c r="C85" s="16" t="s">
        <v>88</v>
      </c>
      <c r="D85" s="51" t="s">
        <v>27</v>
      </c>
      <c r="E85" s="44">
        <v>11</v>
      </c>
    </row>
    <row r="86" spans="1:5" ht="15.75" x14ac:dyDescent="0.25">
      <c r="A86" s="12"/>
      <c r="B86" s="21"/>
      <c r="C86" s="16"/>
      <c r="D86" s="45" t="s">
        <v>29</v>
      </c>
      <c r="E86" s="46">
        <f>SUM(E75:E85)</f>
        <v>412</v>
      </c>
    </row>
    <row r="87" spans="1:5" ht="15.75" x14ac:dyDescent="0.25">
      <c r="A87" s="12"/>
      <c r="B87" s="22"/>
      <c r="C87" s="19"/>
      <c r="D87" s="45"/>
      <c r="E87" s="46"/>
    </row>
    <row r="88" spans="1:5" ht="15.75" x14ac:dyDescent="0.25">
      <c r="A88" s="8">
        <v>7</v>
      </c>
      <c r="B88" s="9" t="s">
        <v>89</v>
      </c>
      <c r="C88" s="3" t="s">
        <v>30</v>
      </c>
      <c r="D88" s="47"/>
      <c r="E88" s="48"/>
    </row>
    <row r="89" spans="1:5" ht="15.75" x14ac:dyDescent="0.25">
      <c r="A89" s="8"/>
      <c r="B89" s="9"/>
      <c r="C89" s="23" t="s">
        <v>90</v>
      </c>
      <c r="D89" s="43" t="s">
        <v>7</v>
      </c>
      <c r="E89" s="44">
        <v>16</v>
      </c>
    </row>
    <row r="90" spans="1:5" ht="15.75" x14ac:dyDescent="0.25">
      <c r="A90" s="12"/>
      <c r="B90" s="13"/>
      <c r="C90" s="23" t="s">
        <v>91</v>
      </c>
      <c r="D90" s="43" t="s">
        <v>9</v>
      </c>
      <c r="E90" s="44">
        <v>22</v>
      </c>
    </row>
    <row r="91" spans="1:5" ht="15.75" x14ac:dyDescent="0.25">
      <c r="A91" s="12"/>
      <c r="B91" s="13"/>
      <c r="C91" s="23" t="s">
        <v>92</v>
      </c>
      <c r="D91" s="43" t="s">
        <v>11</v>
      </c>
      <c r="E91" s="44">
        <v>10</v>
      </c>
    </row>
    <row r="92" spans="1:5" ht="15.75" x14ac:dyDescent="0.25">
      <c r="A92" s="12"/>
      <c r="B92" s="13"/>
      <c r="C92" s="23" t="s">
        <v>93</v>
      </c>
      <c r="D92" s="43" t="s">
        <v>13</v>
      </c>
      <c r="E92" s="44">
        <v>19</v>
      </c>
    </row>
    <row r="93" spans="1:5" ht="15.75" x14ac:dyDescent="0.25">
      <c r="A93" s="12"/>
      <c r="B93" s="13"/>
      <c r="C93" s="23" t="s">
        <v>94</v>
      </c>
      <c r="D93" s="43" t="s">
        <v>15</v>
      </c>
      <c r="E93" s="44">
        <v>60</v>
      </c>
    </row>
    <row r="94" spans="1:5" ht="15.75" x14ac:dyDescent="0.25">
      <c r="A94" s="12"/>
      <c r="B94" s="13"/>
      <c r="C94" s="23" t="s">
        <v>95</v>
      </c>
      <c r="D94" s="43" t="s">
        <v>17</v>
      </c>
      <c r="E94" s="44">
        <v>21</v>
      </c>
    </row>
    <row r="95" spans="1:5" ht="15.75" x14ac:dyDescent="0.25">
      <c r="A95" s="12"/>
      <c r="B95" s="13"/>
      <c r="C95" s="23" t="s">
        <v>96</v>
      </c>
      <c r="D95" s="43" t="s">
        <v>19</v>
      </c>
      <c r="E95" s="44">
        <v>25</v>
      </c>
    </row>
    <row r="96" spans="1:5" ht="15.75" x14ac:dyDescent="0.25">
      <c r="A96" s="12"/>
      <c r="B96" s="13"/>
      <c r="C96" s="23" t="s">
        <v>97</v>
      </c>
      <c r="D96" s="43" t="s">
        <v>21</v>
      </c>
      <c r="E96" s="44">
        <v>40</v>
      </c>
    </row>
    <row r="97" spans="1:5" ht="15.75" x14ac:dyDescent="0.25">
      <c r="A97" s="12"/>
      <c r="B97" s="13"/>
      <c r="C97" s="23" t="s">
        <v>98</v>
      </c>
      <c r="D97" s="43" t="s">
        <v>23</v>
      </c>
      <c r="E97" s="44">
        <v>12</v>
      </c>
    </row>
    <row r="98" spans="1:5" ht="15.75" x14ac:dyDescent="0.25">
      <c r="A98" s="12"/>
      <c r="B98" s="13"/>
      <c r="C98" s="23" t="s">
        <v>99</v>
      </c>
      <c r="D98" s="43" t="s">
        <v>25</v>
      </c>
      <c r="E98" s="44">
        <v>11</v>
      </c>
    </row>
    <row r="99" spans="1:5" ht="15.75" x14ac:dyDescent="0.25">
      <c r="A99" s="12"/>
      <c r="B99" s="13"/>
      <c r="C99" s="23" t="s">
        <v>100</v>
      </c>
      <c r="D99" s="43" t="s">
        <v>27</v>
      </c>
      <c r="E99" s="44">
        <v>12</v>
      </c>
    </row>
    <row r="100" spans="1:5" ht="15.75" x14ac:dyDescent="0.25">
      <c r="A100" s="12"/>
      <c r="B100" s="13"/>
      <c r="C100" s="23" t="s">
        <v>101</v>
      </c>
      <c r="D100" s="43" t="s">
        <v>102</v>
      </c>
      <c r="E100" s="44">
        <v>5</v>
      </c>
    </row>
    <row r="101" spans="1:5" ht="15.75" x14ac:dyDescent="0.25">
      <c r="A101" s="12"/>
      <c r="B101" s="13"/>
      <c r="C101" s="23" t="s">
        <v>103</v>
      </c>
      <c r="D101" s="43" t="s">
        <v>104</v>
      </c>
      <c r="E101" s="44">
        <v>22</v>
      </c>
    </row>
    <row r="102" spans="1:5" ht="15.75" x14ac:dyDescent="0.25">
      <c r="A102" s="12"/>
      <c r="B102" s="13"/>
      <c r="C102" s="23" t="s">
        <v>105</v>
      </c>
      <c r="D102" s="43" t="s">
        <v>106</v>
      </c>
      <c r="E102" s="44">
        <v>15</v>
      </c>
    </row>
    <row r="103" spans="1:5" ht="15.75" x14ac:dyDescent="0.25">
      <c r="A103" s="12"/>
      <c r="B103" s="13"/>
      <c r="C103" s="23" t="s">
        <v>107</v>
      </c>
      <c r="D103" s="43" t="s">
        <v>108</v>
      </c>
      <c r="E103" s="44">
        <v>16</v>
      </c>
    </row>
    <row r="104" spans="1:5" ht="15.75" x14ac:dyDescent="0.25">
      <c r="A104" s="12"/>
      <c r="B104" s="13"/>
      <c r="C104" s="23" t="s">
        <v>109</v>
      </c>
      <c r="D104" s="43" t="s">
        <v>110</v>
      </c>
      <c r="E104" s="44">
        <v>21</v>
      </c>
    </row>
    <row r="105" spans="1:5" ht="15.75" x14ac:dyDescent="0.25">
      <c r="A105" s="12"/>
      <c r="B105" s="13"/>
      <c r="C105" s="23" t="s">
        <v>111</v>
      </c>
      <c r="D105" s="43" t="s">
        <v>112</v>
      </c>
      <c r="E105" s="44">
        <v>24</v>
      </c>
    </row>
    <row r="106" spans="1:5" ht="15.75" x14ac:dyDescent="0.25">
      <c r="A106" s="12"/>
      <c r="B106" s="13"/>
      <c r="C106" s="23" t="s">
        <v>113</v>
      </c>
      <c r="D106" s="43" t="s">
        <v>114</v>
      </c>
      <c r="E106" s="44">
        <v>8</v>
      </c>
    </row>
    <row r="107" spans="1:5" ht="15.75" x14ac:dyDescent="0.25">
      <c r="A107" s="12"/>
      <c r="B107" s="13"/>
      <c r="C107" s="23" t="s">
        <v>115</v>
      </c>
      <c r="D107" s="43" t="s">
        <v>116</v>
      </c>
      <c r="E107" s="44">
        <v>15</v>
      </c>
    </row>
    <row r="108" spans="1:5" ht="15.75" x14ac:dyDescent="0.25">
      <c r="A108" s="12"/>
      <c r="B108" s="13"/>
      <c r="C108" s="15"/>
      <c r="D108" s="45" t="s">
        <v>29</v>
      </c>
      <c r="E108" s="46">
        <f>SUM(E89:E107)</f>
        <v>374</v>
      </c>
    </row>
    <row r="109" spans="1:5" ht="15.75" x14ac:dyDescent="0.25">
      <c r="A109" s="12"/>
      <c r="B109" s="13"/>
      <c r="C109" s="15"/>
      <c r="D109" s="45"/>
      <c r="E109" s="46"/>
    </row>
    <row r="110" spans="1:5" ht="15.75" x14ac:dyDescent="0.25">
      <c r="A110" s="8">
        <v>8</v>
      </c>
      <c r="B110" s="17" t="s">
        <v>117</v>
      </c>
      <c r="C110" s="5" t="s">
        <v>30</v>
      </c>
      <c r="D110" s="47"/>
      <c r="E110" s="48"/>
    </row>
    <row r="111" spans="1:5" ht="15.75" x14ac:dyDescent="0.25">
      <c r="A111" s="8"/>
      <c r="B111" s="17"/>
      <c r="C111" s="18" t="s">
        <v>118</v>
      </c>
      <c r="D111" s="51" t="s">
        <v>7</v>
      </c>
      <c r="E111" s="44">
        <v>75</v>
      </c>
    </row>
    <row r="112" spans="1:5" ht="15.75" x14ac:dyDescent="0.25">
      <c r="A112" s="12"/>
      <c r="B112" s="13"/>
      <c r="C112" s="18" t="s">
        <v>119</v>
      </c>
      <c r="D112" s="43" t="s">
        <v>9</v>
      </c>
      <c r="E112" s="44">
        <v>96</v>
      </c>
    </row>
    <row r="113" spans="1:5" ht="15.75" x14ac:dyDescent="0.25">
      <c r="A113" s="12"/>
      <c r="B113" s="13"/>
      <c r="C113" s="18" t="s">
        <v>120</v>
      </c>
      <c r="D113" s="43" t="s">
        <v>11</v>
      </c>
      <c r="E113" s="44">
        <v>59</v>
      </c>
    </row>
    <row r="114" spans="1:5" ht="15.75" x14ac:dyDescent="0.25">
      <c r="A114" s="12"/>
      <c r="B114" s="13"/>
      <c r="C114" s="18" t="s">
        <v>121</v>
      </c>
      <c r="D114" s="43" t="s">
        <v>13</v>
      </c>
      <c r="E114" s="44">
        <v>126</v>
      </c>
    </row>
    <row r="115" spans="1:5" ht="15.75" x14ac:dyDescent="0.25">
      <c r="A115" s="12"/>
      <c r="B115" s="13"/>
      <c r="C115" s="18" t="s">
        <v>122</v>
      </c>
      <c r="D115" s="43" t="s">
        <v>15</v>
      </c>
      <c r="E115" s="44">
        <v>73</v>
      </c>
    </row>
    <row r="116" spans="1:5" ht="15.75" x14ac:dyDescent="0.25">
      <c r="A116" s="12"/>
      <c r="B116" s="13"/>
      <c r="C116" s="18" t="s">
        <v>123</v>
      </c>
      <c r="D116" s="43" t="s">
        <v>17</v>
      </c>
      <c r="E116" s="44">
        <v>67</v>
      </c>
    </row>
    <row r="117" spans="1:5" ht="15.75" x14ac:dyDescent="0.25">
      <c r="A117" s="12"/>
      <c r="B117" s="13"/>
      <c r="C117" s="18" t="s">
        <v>124</v>
      </c>
      <c r="D117" s="43" t="s">
        <v>19</v>
      </c>
      <c r="E117" s="44">
        <v>53</v>
      </c>
    </row>
    <row r="118" spans="1:5" ht="15.75" x14ac:dyDescent="0.25">
      <c r="A118" s="12"/>
      <c r="B118" s="13"/>
      <c r="C118" s="16" t="s">
        <v>125</v>
      </c>
      <c r="D118" s="43" t="s">
        <v>21</v>
      </c>
      <c r="E118" s="44">
        <v>46</v>
      </c>
    </row>
    <row r="119" spans="1:5" ht="15.75" x14ac:dyDescent="0.25">
      <c r="A119" s="12"/>
      <c r="B119" s="13"/>
      <c r="C119" s="16" t="s">
        <v>126</v>
      </c>
      <c r="D119" s="43" t="s">
        <v>23</v>
      </c>
      <c r="E119" s="44">
        <v>67</v>
      </c>
    </row>
    <row r="120" spans="1:5" ht="15.75" x14ac:dyDescent="0.25">
      <c r="A120" s="12"/>
      <c r="B120" s="13"/>
      <c r="C120" s="16" t="s">
        <v>127</v>
      </c>
      <c r="D120" s="49" t="s">
        <v>25</v>
      </c>
      <c r="E120" s="50">
        <v>63</v>
      </c>
    </row>
    <row r="121" spans="1:5" ht="15.75" x14ac:dyDescent="0.25">
      <c r="A121" s="12"/>
      <c r="B121" s="19"/>
      <c r="C121" s="16"/>
      <c r="D121" s="45" t="s">
        <v>29</v>
      </c>
      <c r="E121" s="46">
        <f>SUM(E111:E120)</f>
        <v>725</v>
      </c>
    </row>
    <row r="122" spans="1:5" ht="15.75" x14ac:dyDescent="0.25">
      <c r="A122" s="12"/>
      <c r="B122" s="13"/>
      <c r="C122" s="24"/>
      <c r="D122" s="45"/>
      <c r="E122" s="46"/>
    </row>
    <row r="123" spans="1:5" ht="15.75" x14ac:dyDescent="0.25">
      <c r="A123" s="8">
        <v>9</v>
      </c>
      <c r="B123" s="9" t="s">
        <v>128</v>
      </c>
      <c r="C123" s="3" t="s">
        <v>30</v>
      </c>
      <c r="D123" s="47"/>
      <c r="E123" s="48"/>
    </row>
    <row r="124" spans="1:5" ht="15.75" x14ac:dyDescent="0.25">
      <c r="A124" s="8"/>
      <c r="B124" s="9"/>
      <c r="C124" s="25" t="s">
        <v>129</v>
      </c>
      <c r="D124" s="43" t="s">
        <v>7</v>
      </c>
      <c r="E124" s="44">
        <v>20</v>
      </c>
    </row>
    <row r="125" spans="1:5" ht="15.75" x14ac:dyDescent="0.25">
      <c r="A125" s="12"/>
      <c r="B125" s="13"/>
      <c r="C125" s="25" t="s">
        <v>130</v>
      </c>
      <c r="D125" s="43" t="s">
        <v>9</v>
      </c>
      <c r="E125" s="44">
        <v>19</v>
      </c>
    </row>
    <row r="126" spans="1:5" ht="15.75" x14ac:dyDescent="0.25">
      <c r="A126" s="12"/>
      <c r="B126" s="13"/>
      <c r="C126" s="25" t="s">
        <v>131</v>
      </c>
      <c r="D126" s="43" t="s">
        <v>11</v>
      </c>
      <c r="E126" s="44">
        <v>21</v>
      </c>
    </row>
    <row r="127" spans="1:5" ht="15.75" x14ac:dyDescent="0.25">
      <c r="A127" s="12"/>
      <c r="B127" s="13"/>
      <c r="C127" s="25" t="s">
        <v>132</v>
      </c>
      <c r="D127" s="43" t="s">
        <v>13</v>
      </c>
      <c r="E127" s="44">
        <v>16</v>
      </c>
    </row>
    <row r="128" spans="1:5" ht="15.75" x14ac:dyDescent="0.25">
      <c r="A128" s="12"/>
      <c r="C128" s="25" t="s">
        <v>133</v>
      </c>
      <c r="D128" s="43" t="s">
        <v>15</v>
      </c>
      <c r="E128" s="44">
        <v>15</v>
      </c>
    </row>
    <row r="129" spans="1:5" ht="15.75" x14ac:dyDescent="0.25">
      <c r="A129" s="12"/>
      <c r="C129" s="25" t="s">
        <v>134</v>
      </c>
      <c r="D129" s="43" t="s">
        <v>17</v>
      </c>
      <c r="E129" s="44">
        <v>56</v>
      </c>
    </row>
    <row r="130" spans="1:5" ht="15.75" x14ac:dyDescent="0.25">
      <c r="A130" s="12"/>
      <c r="C130" s="25" t="s">
        <v>135</v>
      </c>
      <c r="D130" s="43" t="s">
        <v>19</v>
      </c>
      <c r="E130" s="44">
        <v>31</v>
      </c>
    </row>
    <row r="131" spans="1:5" ht="15.75" x14ac:dyDescent="0.25">
      <c r="A131" s="12"/>
      <c r="C131" s="26" t="s">
        <v>136</v>
      </c>
      <c r="D131" s="43" t="s">
        <v>21</v>
      </c>
      <c r="E131" s="44">
        <v>12</v>
      </c>
    </row>
    <row r="132" spans="1:5" ht="15.75" x14ac:dyDescent="0.25">
      <c r="A132" s="12"/>
      <c r="C132" s="16" t="s">
        <v>137</v>
      </c>
      <c r="D132" s="43" t="s">
        <v>23</v>
      </c>
      <c r="E132" s="44">
        <v>13</v>
      </c>
    </row>
    <row r="133" spans="1:5" ht="15.75" x14ac:dyDescent="0.25">
      <c r="A133" s="12"/>
      <c r="C133" s="16" t="s">
        <v>138</v>
      </c>
      <c r="D133" s="43" t="s">
        <v>25</v>
      </c>
      <c r="E133" s="44">
        <v>13</v>
      </c>
    </row>
    <row r="134" spans="1:5" ht="15.75" x14ac:dyDescent="0.25">
      <c r="A134" s="12"/>
      <c r="C134" s="16" t="s">
        <v>139</v>
      </c>
      <c r="D134" s="43" t="s">
        <v>27</v>
      </c>
      <c r="E134" s="44">
        <v>11</v>
      </c>
    </row>
    <row r="135" spans="1:5" ht="15.75" x14ac:dyDescent="0.25">
      <c r="A135" s="12"/>
      <c r="C135" s="27"/>
      <c r="D135" s="52" t="s">
        <v>29</v>
      </c>
      <c r="E135" s="46">
        <f>SUM(E124:E134)</f>
        <v>227</v>
      </c>
    </row>
    <row r="136" spans="1:5" ht="15.75" x14ac:dyDescent="0.25">
      <c r="A136" s="12"/>
      <c r="C136" s="27"/>
      <c r="D136" s="52"/>
      <c r="E136" s="46"/>
    </row>
    <row r="137" spans="1:5" ht="15.75" x14ac:dyDescent="0.25">
      <c r="A137" s="8">
        <v>10</v>
      </c>
      <c r="B137" s="9" t="s">
        <v>140</v>
      </c>
      <c r="C137" s="28" t="s">
        <v>30</v>
      </c>
      <c r="D137" s="47"/>
      <c r="E137" s="48"/>
    </row>
    <row r="138" spans="1:5" ht="15.75" x14ac:dyDescent="0.25">
      <c r="A138" s="8"/>
      <c r="B138" s="9"/>
      <c r="C138" s="29" t="s">
        <v>141</v>
      </c>
      <c r="D138" s="43" t="s">
        <v>7</v>
      </c>
      <c r="E138" s="44">
        <v>39</v>
      </c>
    </row>
    <row r="139" spans="1:5" ht="15.75" x14ac:dyDescent="0.25">
      <c r="A139" s="12"/>
      <c r="B139" s="13"/>
      <c r="C139" s="16" t="s">
        <v>142</v>
      </c>
      <c r="D139" s="43" t="s">
        <v>9</v>
      </c>
      <c r="E139" s="44">
        <v>47</v>
      </c>
    </row>
    <row r="140" spans="1:5" ht="15.75" x14ac:dyDescent="0.25">
      <c r="A140" s="12"/>
      <c r="B140" s="13"/>
      <c r="C140" s="29" t="s">
        <v>143</v>
      </c>
      <c r="D140" s="43" t="s">
        <v>11</v>
      </c>
      <c r="E140" s="44">
        <v>82</v>
      </c>
    </row>
    <row r="141" spans="1:5" ht="15.75" x14ac:dyDescent="0.25">
      <c r="A141" s="12"/>
      <c r="B141" s="13"/>
      <c r="C141" s="29" t="s">
        <v>144</v>
      </c>
      <c r="D141" s="43" t="s">
        <v>13</v>
      </c>
      <c r="E141" s="44">
        <v>30</v>
      </c>
    </row>
    <row r="142" spans="1:5" ht="15.75" x14ac:dyDescent="0.25">
      <c r="A142" s="12"/>
      <c r="B142" s="13"/>
      <c r="C142" s="29" t="s">
        <v>145</v>
      </c>
      <c r="D142" s="43" t="s">
        <v>15</v>
      </c>
      <c r="E142" s="44">
        <v>72</v>
      </c>
    </row>
    <row r="143" spans="1:5" ht="15.75" x14ac:dyDescent="0.25">
      <c r="A143" s="12"/>
      <c r="B143" s="13"/>
      <c r="C143" s="29" t="s">
        <v>146</v>
      </c>
      <c r="D143" s="43" t="s">
        <v>17</v>
      </c>
      <c r="E143" s="44">
        <v>58</v>
      </c>
    </row>
    <row r="144" spans="1:5" ht="15.75" x14ac:dyDescent="0.25">
      <c r="A144" s="12"/>
      <c r="B144" s="13"/>
      <c r="C144" s="29" t="s">
        <v>147</v>
      </c>
      <c r="D144" s="43" t="s">
        <v>19</v>
      </c>
      <c r="E144" s="44">
        <v>57</v>
      </c>
    </row>
    <row r="145" spans="1:5" ht="15.75" x14ac:dyDescent="0.25">
      <c r="A145" s="12"/>
      <c r="B145" s="13"/>
      <c r="C145" s="16" t="s">
        <v>148</v>
      </c>
      <c r="D145" s="43" t="s">
        <v>21</v>
      </c>
      <c r="E145" s="44">
        <v>160</v>
      </c>
    </row>
    <row r="146" spans="1:5" ht="15.75" x14ac:dyDescent="0.25">
      <c r="A146" s="12"/>
      <c r="B146" s="13"/>
      <c r="C146" s="16" t="s">
        <v>149</v>
      </c>
      <c r="D146" s="43" t="s">
        <v>23</v>
      </c>
      <c r="E146" s="44">
        <v>120</v>
      </c>
    </row>
    <row r="147" spans="1:5" ht="15.75" x14ac:dyDescent="0.25">
      <c r="A147" s="12"/>
      <c r="B147" s="13"/>
      <c r="C147" s="29" t="s">
        <v>150</v>
      </c>
      <c r="D147" s="43" t="s">
        <v>25</v>
      </c>
      <c r="E147" s="44">
        <v>47</v>
      </c>
    </row>
    <row r="148" spans="1:5" ht="15.75" x14ac:dyDescent="0.25">
      <c r="A148" s="12"/>
      <c r="B148" s="13"/>
      <c r="C148" s="29" t="s">
        <v>151</v>
      </c>
      <c r="D148" s="43" t="s">
        <v>27</v>
      </c>
      <c r="E148" s="44">
        <v>49</v>
      </c>
    </row>
    <row r="149" spans="1:5" ht="15.75" x14ac:dyDescent="0.25">
      <c r="A149" s="12"/>
      <c r="B149" s="13"/>
      <c r="C149" s="16"/>
      <c r="D149" s="45" t="s">
        <v>29</v>
      </c>
      <c r="E149" s="46">
        <f>SUM(E138:E148)</f>
        <v>761</v>
      </c>
    </row>
    <row r="150" spans="1:5" ht="15.75" x14ac:dyDescent="0.25">
      <c r="A150" s="12"/>
      <c r="B150" s="13"/>
      <c r="C150" s="16"/>
      <c r="D150" s="45"/>
      <c r="E150" s="46"/>
    </row>
    <row r="151" spans="1:5" ht="15.75" x14ac:dyDescent="0.25">
      <c r="A151" s="8">
        <v>11</v>
      </c>
      <c r="B151" s="9" t="s">
        <v>152</v>
      </c>
      <c r="C151" s="3" t="s">
        <v>30</v>
      </c>
      <c r="D151" s="47"/>
      <c r="E151" s="48"/>
    </row>
    <row r="152" spans="1:5" ht="15.75" x14ac:dyDescent="0.25">
      <c r="A152" s="8"/>
      <c r="B152" s="9"/>
      <c r="C152" s="16" t="s">
        <v>153</v>
      </c>
      <c r="D152" s="43" t="s">
        <v>7</v>
      </c>
      <c r="E152" s="44">
        <v>47</v>
      </c>
    </row>
    <row r="153" spans="1:5" ht="15.75" x14ac:dyDescent="0.25">
      <c r="A153" s="12"/>
      <c r="B153" s="13"/>
      <c r="C153" s="16" t="s">
        <v>154</v>
      </c>
      <c r="D153" s="43" t="s">
        <v>9</v>
      </c>
      <c r="E153" s="44">
        <v>121</v>
      </c>
    </row>
    <row r="154" spans="1:5" ht="15.75" x14ac:dyDescent="0.25">
      <c r="A154" s="12"/>
      <c r="B154" s="13"/>
      <c r="C154" s="16" t="s">
        <v>155</v>
      </c>
      <c r="D154" s="43" t="s">
        <v>11</v>
      </c>
      <c r="E154" s="44">
        <v>86</v>
      </c>
    </row>
    <row r="155" spans="1:5" ht="15.75" x14ac:dyDescent="0.25">
      <c r="A155" s="12"/>
      <c r="B155" s="13"/>
      <c r="C155" s="16" t="s">
        <v>156</v>
      </c>
      <c r="D155" s="43" t="s">
        <v>13</v>
      </c>
      <c r="E155" s="44">
        <v>37</v>
      </c>
    </row>
    <row r="156" spans="1:5" ht="15.75" x14ac:dyDescent="0.25">
      <c r="A156" s="12"/>
      <c r="B156" s="13"/>
      <c r="C156" s="16" t="s">
        <v>157</v>
      </c>
      <c r="D156" s="43" t="s">
        <v>15</v>
      </c>
      <c r="E156" s="44">
        <v>78</v>
      </c>
    </row>
    <row r="157" spans="1:5" ht="15.75" x14ac:dyDescent="0.25">
      <c r="A157" s="12"/>
      <c r="B157" s="13"/>
      <c r="C157" s="30" t="s">
        <v>158</v>
      </c>
      <c r="D157" s="43" t="s">
        <v>17</v>
      </c>
      <c r="E157" s="44">
        <v>38</v>
      </c>
    </row>
    <row r="158" spans="1:5" ht="15.75" x14ac:dyDescent="0.25">
      <c r="A158" s="12"/>
      <c r="B158" s="13"/>
      <c r="C158" s="16" t="s">
        <v>159</v>
      </c>
      <c r="D158" s="43" t="s">
        <v>19</v>
      </c>
      <c r="E158" s="44">
        <v>100</v>
      </c>
    </row>
    <row r="159" spans="1:5" ht="15.75" x14ac:dyDescent="0.25">
      <c r="A159" s="12"/>
      <c r="B159" s="13"/>
      <c r="C159" s="16" t="s">
        <v>160</v>
      </c>
      <c r="D159" s="43" t="s">
        <v>21</v>
      </c>
      <c r="E159" s="44">
        <v>51</v>
      </c>
    </row>
    <row r="160" spans="1:5" ht="15.75" x14ac:dyDescent="0.25">
      <c r="A160" s="12"/>
      <c r="B160" s="13"/>
      <c r="C160" s="16" t="s">
        <v>161</v>
      </c>
      <c r="D160" s="43" t="s">
        <v>23</v>
      </c>
      <c r="E160" s="44">
        <v>49</v>
      </c>
    </row>
    <row r="161" spans="1:5" ht="15.75" x14ac:dyDescent="0.25">
      <c r="A161" s="12"/>
      <c r="B161" s="13"/>
      <c r="C161" s="16" t="s">
        <v>162</v>
      </c>
      <c r="D161" s="43" t="s">
        <v>25</v>
      </c>
      <c r="E161" s="44">
        <v>60</v>
      </c>
    </row>
    <row r="162" spans="1:5" ht="15.75" x14ac:dyDescent="0.25">
      <c r="A162" s="12"/>
      <c r="B162" s="13"/>
      <c r="C162" s="16"/>
      <c r="D162" s="45" t="s">
        <v>29</v>
      </c>
      <c r="E162" s="46">
        <f>SUM(E152:E161)</f>
        <v>667</v>
      </c>
    </row>
    <row r="163" spans="1:5" ht="15.75" x14ac:dyDescent="0.25">
      <c r="A163" s="12"/>
      <c r="B163" s="13"/>
      <c r="C163" s="16"/>
      <c r="D163" s="45"/>
      <c r="E163" s="46"/>
    </row>
    <row r="164" spans="1:5" ht="15.75" x14ac:dyDescent="0.25">
      <c r="A164" s="8">
        <v>12</v>
      </c>
      <c r="B164" s="31" t="s">
        <v>163</v>
      </c>
      <c r="C164" s="5" t="s">
        <v>30</v>
      </c>
      <c r="D164" s="47"/>
      <c r="E164" s="48"/>
    </row>
    <row r="165" spans="1:5" ht="15.75" x14ac:dyDescent="0.25">
      <c r="A165" s="8"/>
      <c r="B165" s="31"/>
      <c r="C165" s="32" t="s">
        <v>164</v>
      </c>
      <c r="D165" s="43" t="s">
        <v>7</v>
      </c>
      <c r="E165" s="44">
        <v>96</v>
      </c>
    </row>
    <row r="166" spans="1:5" ht="15.75" x14ac:dyDescent="0.25">
      <c r="A166" s="12"/>
      <c r="B166" s="13"/>
      <c r="C166" s="32" t="s">
        <v>164</v>
      </c>
      <c r="D166" s="43" t="s">
        <v>9</v>
      </c>
      <c r="E166" s="44">
        <v>23</v>
      </c>
    </row>
    <row r="167" spans="1:5" ht="15.75" x14ac:dyDescent="0.25">
      <c r="A167" s="12"/>
      <c r="B167" s="13"/>
      <c r="C167" s="32" t="s">
        <v>165</v>
      </c>
      <c r="D167" s="43" t="s">
        <v>11</v>
      </c>
      <c r="E167" s="44">
        <v>23</v>
      </c>
    </row>
    <row r="168" spans="1:5" ht="15.75" x14ac:dyDescent="0.25">
      <c r="A168" s="12"/>
      <c r="B168" s="13"/>
      <c r="C168" s="32" t="s">
        <v>166</v>
      </c>
      <c r="D168" s="43" t="s">
        <v>13</v>
      </c>
      <c r="E168" s="44">
        <v>56</v>
      </c>
    </row>
    <row r="169" spans="1:5" ht="15.75" x14ac:dyDescent="0.25">
      <c r="A169" s="12"/>
      <c r="B169" s="13"/>
      <c r="C169" s="32" t="s">
        <v>167</v>
      </c>
      <c r="D169" s="43" t="s">
        <v>15</v>
      </c>
      <c r="E169" s="44">
        <v>79</v>
      </c>
    </row>
    <row r="170" spans="1:5" ht="15.75" x14ac:dyDescent="0.25">
      <c r="A170" s="12"/>
      <c r="B170" s="13"/>
      <c r="C170" s="32" t="s">
        <v>168</v>
      </c>
      <c r="D170" s="43" t="s">
        <v>17</v>
      </c>
      <c r="E170" s="44">
        <v>15</v>
      </c>
    </row>
    <row r="171" spans="1:5" ht="15.75" x14ac:dyDescent="0.25">
      <c r="A171" s="12"/>
      <c r="B171" s="13"/>
      <c r="C171" s="32" t="s">
        <v>169</v>
      </c>
      <c r="D171" s="43" t="s">
        <v>19</v>
      </c>
      <c r="E171" s="44">
        <v>28</v>
      </c>
    </row>
    <row r="172" spans="1:5" ht="15.75" x14ac:dyDescent="0.25">
      <c r="A172" s="12"/>
      <c r="B172" s="13"/>
      <c r="C172" s="32" t="s">
        <v>170</v>
      </c>
      <c r="D172" s="43" t="s">
        <v>21</v>
      </c>
      <c r="E172" s="44">
        <v>12</v>
      </c>
    </row>
    <row r="173" spans="1:5" ht="15.75" x14ac:dyDescent="0.25">
      <c r="A173" s="12"/>
      <c r="B173" s="13"/>
      <c r="C173" s="32" t="s">
        <v>171</v>
      </c>
      <c r="D173" s="43" t="s">
        <v>23</v>
      </c>
      <c r="E173" s="44">
        <v>30</v>
      </c>
    </row>
    <row r="174" spans="1:5" ht="15.75" x14ac:dyDescent="0.25">
      <c r="A174" s="12"/>
      <c r="B174" s="13"/>
      <c r="C174" s="32" t="s">
        <v>172</v>
      </c>
      <c r="D174" s="43" t="s">
        <v>25</v>
      </c>
      <c r="E174" s="44">
        <v>45</v>
      </c>
    </row>
    <row r="175" spans="1:5" ht="15.75" x14ac:dyDescent="0.25">
      <c r="A175" s="12"/>
      <c r="B175" s="13"/>
      <c r="C175" s="32" t="s">
        <v>173</v>
      </c>
      <c r="D175" s="43" t="s">
        <v>27</v>
      </c>
      <c r="E175" s="44">
        <v>29</v>
      </c>
    </row>
    <row r="176" spans="1:5" ht="15.75" x14ac:dyDescent="0.25">
      <c r="A176" s="12"/>
      <c r="B176" s="13"/>
      <c r="C176" s="32" t="s">
        <v>63</v>
      </c>
      <c r="D176" s="43" t="s">
        <v>102</v>
      </c>
      <c r="E176" s="44">
        <v>29</v>
      </c>
    </row>
    <row r="177" spans="1:5" ht="15.75" x14ac:dyDescent="0.25">
      <c r="A177" s="12"/>
      <c r="B177" s="13"/>
      <c r="C177" s="32" t="s">
        <v>174</v>
      </c>
      <c r="D177" s="43" t="s">
        <v>104</v>
      </c>
      <c r="E177" s="44">
        <v>21</v>
      </c>
    </row>
    <row r="178" spans="1:5" ht="15.75" x14ac:dyDescent="0.25">
      <c r="A178" s="12"/>
      <c r="B178" s="13"/>
      <c r="C178" s="32" t="s">
        <v>175</v>
      </c>
      <c r="D178" s="43" t="s">
        <v>106</v>
      </c>
      <c r="E178" s="44">
        <v>27</v>
      </c>
    </row>
    <row r="179" spans="1:5" ht="15.75" x14ac:dyDescent="0.25">
      <c r="A179" s="12"/>
      <c r="B179" s="13"/>
      <c r="C179" s="32" t="s">
        <v>176</v>
      </c>
      <c r="D179" s="43" t="s">
        <v>108</v>
      </c>
      <c r="E179" s="44">
        <v>34</v>
      </c>
    </row>
    <row r="180" spans="1:5" ht="15.75" x14ac:dyDescent="0.25">
      <c r="A180" s="12"/>
      <c r="B180" s="13"/>
      <c r="C180" s="32" t="s">
        <v>177</v>
      </c>
      <c r="D180" s="43" t="s">
        <v>110</v>
      </c>
      <c r="E180" s="44">
        <v>65</v>
      </c>
    </row>
    <row r="181" spans="1:5" ht="15.75" x14ac:dyDescent="0.25">
      <c r="A181" s="12"/>
      <c r="B181" s="13"/>
      <c r="C181" s="32" t="s">
        <v>178</v>
      </c>
      <c r="D181" s="43" t="s">
        <v>112</v>
      </c>
      <c r="E181" s="44">
        <v>19</v>
      </c>
    </row>
    <row r="182" spans="1:5" ht="15.75" x14ac:dyDescent="0.25">
      <c r="A182" s="12"/>
      <c r="B182" s="13"/>
      <c r="C182" s="32" t="s">
        <v>179</v>
      </c>
      <c r="D182" s="43" t="s">
        <v>114</v>
      </c>
      <c r="E182" s="44">
        <v>43</v>
      </c>
    </row>
    <row r="183" spans="1:5" ht="15.75" x14ac:dyDescent="0.25">
      <c r="A183" s="12"/>
      <c r="B183" s="13"/>
      <c r="C183" s="32" t="s">
        <v>180</v>
      </c>
      <c r="D183" s="43" t="s">
        <v>116</v>
      </c>
      <c r="E183" s="44">
        <v>8</v>
      </c>
    </row>
    <row r="184" spans="1:5" ht="15.75" x14ac:dyDescent="0.25">
      <c r="A184" s="12"/>
      <c r="B184" s="19"/>
      <c r="C184" s="24"/>
      <c r="D184" s="53" t="s">
        <v>29</v>
      </c>
      <c r="E184" s="54">
        <f>SUM(E165:E183)</f>
        <v>682</v>
      </c>
    </row>
    <row r="185" spans="1:5" ht="15.75" x14ac:dyDescent="0.25">
      <c r="A185" s="12"/>
      <c r="B185" s="13"/>
      <c r="C185" s="24"/>
      <c r="D185" s="53"/>
      <c r="E185" s="54"/>
    </row>
    <row r="186" spans="1:5" ht="15.75" x14ac:dyDescent="0.25">
      <c r="A186" s="8">
        <v>13</v>
      </c>
      <c r="B186" s="9" t="s">
        <v>181</v>
      </c>
      <c r="C186" s="3" t="s">
        <v>30</v>
      </c>
      <c r="D186" s="55"/>
      <c r="E186" s="56"/>
    </row>
    <row r="187" spans="1:5" ht="15.75" x14ac:dyDescent="0.25">
      <c r="A187" s="8"/>
      <c r="B187" s="9"/>
      <c r="C187" s="14" t="s">
        <v>182</v>
      </c>
      <c r="D187" s="43" t="s">
        <v>7</v>
      </c>
      <c r="E187" s="44">
        <v>89</v>
      </c>
    </row>
    <row r="188" spans="1:5" ht="15.75" x14ac:dyDescent="0.25">
      <c r="A188" s="12"/>
      <c r="B188" s="13"/>
      <c r="C188" s="14" t="s">
        <v>183</v>
      </c>
      <c r="D188" s="43" t="s">
        <v>9</v>
      </c>
      <c r="E188" s="44">
        <v>79</v>
      </c>
    </row>
    <row r="189" spans="1:5" ht="15.75" x14ac:dyDescent="0.25">
      <c r="A189" s="12"/>
      <c r="B189" s="13"/>
      <c r="C189" s="14" t="s">
        <v>184</v>
      </c>
      <c r="D189" s="43" t="s">
        <v>11</v>
      </c>
      <c r="E189" s="44">
        <v>51</v>
      </c>
    </row>
    <row r="190" spans="1:5" ht="15.75" x14ac:dyDescent="0.25">
      <c r="A190" s="12"/>
      <c r="B190" s="13"/>
      <c r="C190" s="14" t="s">
        <v>185</v>
      </c>
      <c r="D190" s="43" t="s">
        <v>13</v>
      </c>
      <c r="E190" s="44">
        <v>115</v>
      </c>
    </row>
    <row r="191" spans="1:5" ht="31.5" x14ac:dyDescent="0.25">
      <c r="A191" s="12"/>
      <c r="B191" s="13"/>
      <c r="C191" s="14" t="s">
        <v>186</v>
      </c>
      <c r="D191" s="43" t="s">
        <v>15</v>
      </c>
      <c r="E191" s="44">
        <v>179</v>
      </c>
    </row>
    <row r="192" spans="1:5" ht="15.75" x14ac:dyDescent="0.25">
      <c r="A192" s="12"/>
      <c r="B192" s="13"/>
      <c r="C192" s="14" t="s">
        <v>187</v>
      </c>
      <c r="D192" s="51" t="s">
        <v>17</v>
      </c>
      <c r="E192" s="44">
        <v>192</v>
      </c>
    </row>
    <row r="193" spans="1:5" ht="31.5" x14ac:dyDescent="0.25">
      <c r="A193" s="12"/>
      <c r="B193" s="13"/>
      <c r="C193" s="14" t="s">
        <v>188</v>
      </c>
      <c r="D193" s="43" t="s">
        <v>19</v>
      </c>
      <c r="E193" s="44">
        <v>124</v>
      </c>
    </row>
    <row r="194" spans="1:5" ht="15.75" x14ac:dyDescent="0.25">
      <c r="A194" s="12"/>
      <c r="B194" s="13"/>
      <c r="C194" s="14" t="s">
        <v>189</v>
      </c>
      <c r="D194" s="43" t="s">
        <v>21</v>
      </c>
      <c r="E194" s="44">
        <v>6</v>
      </c>
    </row>
    <row r="195" spans="1:5" ht="15.75" x14ac:dyDescent="0.25">
      <c r="A195" s="12"/>
      <c r="B195" s="13"/>
      <c r="C195" s="14" t="s">
        <v>190</v>
      </c>
      <c r="D195" s="43" t="s">
        <v>23</v>
      </c>
      <c r="E195" s="44">
        <v>5</v>
      </c>
    </row>
    <row r="196" spans="1:5" ht="15.75" x14ac:dyDescent="0.25">
      <c r="A196" s="12"/>
      <c r="B196" s="13"/>
      <c r="C196" s="14" t="s">
        <v>191</v>
      </c>
      <c r="D196" s="43" t="s">
        <v>25</v>
      </c>
      <c r="E196" s="44">
        <v>59</v>
      </c>
    </row>
    <row r="197" spans="1:5" ht="15.75" x14ac:dyDescent="0.25">
      <c r="A197" s="12"/>
      <c r="B197" s="19"/>
      <c r="C197" s="24"/>
      <c r="D197" s="53" t="s">
        <v>29</v>
      </c>
      <c r="E197" s="54">
        <f>SUM(E187:E196)</f>
        <v>899</v>
      </c>
    </row>
    <row r="198" spans="1:5" ht="15.75" x14ac:dyDescent="0.25">
      <c r="A198" s="12"/>
      <c r="B198" s="13"/>
      <c r="C198" s="24"/>
      <c r="D198" s="53"/>
      <c r="E198" s="54"/>
    </row>
    <row r="199" spans="1:5" ht="15.75" x14ac:dyDescent="0.25">
      <c r="A199" s="8">
        <v>14</v>
      </c>
      <c r="B199" s="34" t="s">
        <v>192</v>
      </c>
      <c r="C199" s="5" t="s">
        <v>30</v>
      </c>
      <c r="D199" s="47"/>
      <c r="E199" s="48"/>
    </row>
    <row r="200" spans="1:5" ht="15.75" x14ac:dyDescent="0.25">
      <c r="A200" s="8"/>
      <c r="B200" s="34"/>
      <c r="C200" s="35" t="s">
        <v>193</v>
      </c>
      <c r="D200" s="43" t="s">
        <v>7</v>
      </c>
      <c r="E200" s="44">
        <v>23</v>
      </c>
    </row>
    <row r="201" spans="1:5" ht="15.75" x14ac:dyDescent="0.25">
      <c r="A201" s="12"/>
      <c r="C201" s="35" t="s">
        <v>194</v>
      </c>
      <c r="D201" s="43" t="s">
        <v>9</v>
      </c>
      <c r="E201" s="44">
        <v>17</v>
      </c>
    </row>
    <row r="202" spans="1:5" ht="15.75" x14ac:dyDescent="0.25">
      <c r="A202" s="12"/>
      <c r="C202" s="29" t="s">
        <v>195</v>
      </c>
      <c r="D202" s="43" t="s">
        <v>11</v>
      </c>
      <c r="E202" s="44">
        <v>26</v>
      </c>
    </row>
    <row r="203" spans="1:5" ht="15.75" x14ac:dyDescent="0.25">
      <c r="A203" s="12"/>
      <c r="C203" s="29" t="s">
        <v>196</v>
      </c>
      <c r="D203" s="43" t="s">
        <v>13</v>
      </c>
      <c r="E203" s="44">
        <v>30</v>
      </c>
    </row>
    <row r="204" spans="1:5" ht="15.75" x14ac:dyDescent="0.25">
      <c r="A204" s="12"/>
      <c r="C204" s="29" t="s">
        <v>197</v>
      </c>
      <c r="D204" s="43" t="s">
        <v>15</v>
      </c>
      <c r="E204" s="44">
        <v>19</v>
      </c>
    </row>
    <row r="205" spans="1:5" ht="15.75" x14ac:dyDescent="0.25">
      <c r="A205" s="12"/>
      <c r="C205" s="29" t="s">
        <v>198</v>
      </c>
      <c r="D205" s="43" t="s">
        <v>17</v>
      </c>
      <c r="E205" s="44">
        <v>15</v>
      </c>
    </row>
    <row r="206" spans="1:5" ht="15.75" x14ac:dyDescent="0.25">
      <c r="A206" s="12"/>
      <c r="C206" s="29" t="s">
        <v>199</v>
      </c>
      <c r="D206" s="43" t="s">
        <v>19</v>
      </c>
      <c r="E206" s="44">
        <v>24</v>
      </c>
    </row>
    <row r="207" spans="1:5" ht="15.75" x14ac:dyDescent="0.25">
      <c r="A207" s="12"/>
      <c r="C207" s="29" t="s">
        <v>200</v>
      </c>
      <c r="D207" s="43" t="s">
        <v>21</v>
      </c>
      <c r="E207" s="44">
        <v>23</v>
      </c>
    </row>
    <row r="208" spans="1:5" ht="15.75" x14ac:dyDescent="0.25">
      <c r="A208" s="12"/>
      <c r="C208" s="29" t="s">
        <v>201</v>
      </c>
      <c r="D208" s="43" t="s">
        <v>23</v>
      </c>
      <c r="E208" s="44">
        <v>13</v>
      </c>
    </row>
    <row r="209" spans="1:5" ht="15.75" x14ac:dyDescent="0.25">
      <c r="A209" s="12"/>
      <c r="C209" s="29" t="s">
        <v>202</v>
      </c>
      <c r="D209" s="43" t="s">
        <v>25</v>
      </c>
      <c r="E209" s="44">
        <v>17</v>
      </c>
    </row>
    <row r="210" spans="1:5" ht="15.75" x14ac:dyDescent="0.25">
      <c r="A210" s="12"/>
      <c r="C210" s="29" t="s">
        <v>203</v>
      </c>
      <c r="D210" s="43" t="s">
        <v>27</v>
      </c>
      <c r="E210" s="44">
        <v>14</v>
      </c>
    </row>
    <row r="211" spans="1:5" ht="15.75" x14ac:dyDescent="0.25">
      <c r="A211" s="12"/>
      <c r="C211" s="29" t="s">
        <v>204</v>
      </c>
      <c r="D211" s="43" t="s">
        <v>102</v>
      </c>
      <c r="E211" s="44">
        <v>8</v>
      </c>
    </row>
    <row r="212" spans="1:5" ht="15.75" x14ac:dyDescent="0.25">
      <c r="A212" s="12"/>
      <c r="C212" s="29" t="s">
        <v>205</v>
      </c>
      <c r="D212" s="43" t="s">
        <v>104</v>
      </c>
      <c r="E212" s="44">
        <v>14</v>
      </c>
    </row>
    <row r="213" spans="1:5" ht="15.75" x14ac:dyDescent="0.25">
      <c r="A213" s="12"/>
      <c r="C213" s="29" t="s">
        <v>206</v>
      </c>
      <c r="D213" s="43" t="s">
        <v>106</v>
      </c>
      <c r="E213" s="44">
        <v>19</v>
      </c>
    </row>
    <row r="214" spans="1:5" ht="15.75" x14ac:dyDescent="0.25">
      <c r="A214" s="12"/>
      <c r="C214" s="29" t="s">
        <v>207</v>
      </c>
      <c r="D214" s="43" t="s">
        <v>108</v>
      </c>
      <c r="E214" s="44">
        <v>29</v>
      </c>
    </row>
    <row r="215" spans="1:5" ht="15.75" x14ac:dyDescent="0.25">
      <c r="A215" s="12"/>
      <c r="C215" s="29" t="s">
        <v>208</v>
      </c>
      <c r="D215" s="43" t="s">
        <v>110</v>
      </c>
      <c r="E215" s="44">
        <v>14</v>
      </c>
    </row>
    <row r="216" spans="1:5" ht="15.75" x14ac:dyDescent="0.25">
      <c r="A216" s="12"/>
      <c r="C216" s="29" t="s">
        <v>209</v>
      </c>
      <c r="D216" s="43" t="s">
        <v>112</v>
      </c>
      <c r="E216" s="44">
        <v>19</v>
      </c>
    </row>
    <row r="217" spans="1:5" ht="15.75" x14ac:dyDescent="0.25">
      <c r="A217" s="12"/>
      <c r="C217" s="29" t="s">
        <v>210</v>
      </c>
      <c r="D217" s="43" t="s">
        <v>114</v>
      </c>
      <c r="E217" s="44">
        <v>29</v>
      </c>
    </row>
    <row r="218" spans="1:5" ht="15.75" x14ac:dyDescent="0.25">
      <c r="A218" s="12"/>
      <c r="C218" s="29" t="s">
        <v>211</v>
      </c>
      <c r="D218" s="43" t="s">
        <v>116</v>
      </c>
      <c r="E218" s="44">
        <v>36</v>
      </c>
    </row>
    <row r="219" spans="1:5" ht="15.75" x14ac:dyDescent="0.25">
      <c r="A219" s="12"/>
      <c r="C219" s="16"/>
      <c r="D219" s="45" t="s">
        <v>29</v>
      </c>
      <c r="E219" s="46">
        <f>SUM(E200:E218)</f>
        <v>389</v>
      </c>
    </row>
    <row r="220" spans="1:5" ht="15.75" x14ac:dyDescent="0.25">
      <c r="A220" s="12"/>
      <c r="C220" s="16"/>
      <c r="D220" s="45"/>
      <c r="E220" s="46"/>
    </row>
    <row r="221" spans="1:5" ht="15.75" x14ac:dyDescent="0.25">
      <c r="A221" s="8">
        <v>15</v>
      </c>
      <c r="B221" s="34" t="s">
        <v>212</v>
      </c>
      <c r="C221" s="3" t="s">
        <v>30</v>
      </c>
      <c r="D221" s="47"/>
      <c r="E221" s="48"/>
    </row>
    <row r="222" spans="1:5" ht="15.75" x14ac:dyDescent="0.25">
      <c r="A222" s="8"/>
      <c r="B222" s="34"/>
      <c r="C222" s="16" t="s">
        <v>213</v>
      </c>
      <c r="D222" s="43" t="s">
        <v>7</v>
      </c>
      <c r="E222" s="44">
        <v>15</v>
      </c>
    </row>
    <row r="223" spans="1:5" ht="15.75" x14ac:dyDescent="0.25">
      <c r="A223" s="12"/>
      <c r="C223" s="16" t="s">
        <v>210</v>
      </c>
      <c r="D223" s="43" t="s">
        <v>9</v>
      </c>
      <c r="E223" s="44">
        <v>72</v>
      </c>
    </row>
    <row r="224" spans="1:5" ht="15.75" x14ac:dyDescent="0.25">
      <c r="A224" s="12"/>
      <c r="C224" s="16" t="s">
        <v>214</v>
      </c>
      <c r="D224" s="43" t="s">
        <v>11</v>
      </c>
      <c r="E224" s="44">
        <v>31</v>
      </c>
    </row>
    <row r="225" spans="1:5" ht="15.75" x14ac:dyDescent="0.25">
      <c r="A225" s="12"/>
      <c r="C225" s="16" t="s">
        <v>215</v>
      </c>
      <c r="D225" s="43" t="s">
        <v>13</v>
      </c>
      <c r="E225" s="44">
        <v>71</v>
      </c>
    </row>
    <row r="226" spans="1:5" ht="15.75" x14ac:dyDescent="0.25">
      <c r="A226" s="12"/>
      <c r="C226" s="16" t="s">
        <v>216</v>
      </c>
      <c r="D226" s="43" t="s">
        <v>15</v>
      </c>
      <c r="E226" s="44">
        <v>48</v>
      </c>
    </row>
    <row r="227" spans="1:5" ht="15.75" x14ac:dyDescent="0.25">
      <c r="A227" s="12"/>
      <c r="C227" s="16" t="s">
        <v>217</v>
      </c>
      <c r="D227" s="43" t="s">
        <v>17</v>
      </c>
      <c r="E227" s="44">
        <v>23</v>
      </c>
    </row>
    <row r="228" spans="1:5" ht="15.75" x14ac:dyDescent="0.25">
      <c r="A228" s="12"/>
      <c r="C228" s="16" t="s">
        <v>218</v>
      </c>
      <c r="D228" s="43" t="s">
        <v>19</v>
      </c>
      <c r="E228" s="44">
        <v>31</v>
      </c>
    </row>
    <row r="229" spans="1:5" ht="15.75" x14ac:dyDescent="0.25">
      <c r="A229" s="12"/>
      <c r="C229" s="16" t="s">
        <v>219</v>
      </c>
      <c r="D229" s="43" t="s">
        <v>21</v>
      </c>
      <c r="E229" s="44">
        <v>56</v>
      </c>
    </row>
    <row r="230" spans="1:5" ht="15.75" x14ac:dyDescent="0.25">
      <c r="A230" s="12"/>
      <c r="C230" s="16" t="s">
        <v>220</v>
      </c>
      <c r="D230" s="43" t="s">
        <v>23</v>
      </c>
      <c r="E230" s="44">
        <v>40</v>
      </c>
    </row>
    <row r="231" spans="1:5" ht="15.75" x14ac:dyDescent="0.25">
      <c r="A231" s="12"/>
      <c r="C231" s="16" t="s">
        <v>221</v>
      </c>
      <c r="D231" s="43" t="s">
        <v>25</v>
      </c>
      <c r="E231" s="44">
        <v>59</v>
      </c>
    </row>
    <row r="232" spans="1:5" ht="15.75" x14ac:dyDescent="0.25">
      <c r="A232" s="12"/>
      <c r="C232" s="16" t="s">
        <v>222</v>
      </c>
      <c r="D232" s="43" t="s">
        <v>27</v>
      </c>
      <c r="E232" s="44">
        <v>47</v>
      </c>
    </row>
    <row r="233" spans="1:5" ht="15.75" x14ac:dyDescent="0.25">
      <c r="A233" s="12"/>
      <c r="C233" s="16"/>
      <c r="D233" s="45" t="s">
        <v>29</v>
      </c>
      <c r="E233" s="46">
        <f>SUM(E222:E232)</f>
        <v>493</v>
      </c>
    </row>
    <row r="234" spans="1:5" ht="15.75" x14ac:dyDescent="0.25">
      <c r="A234" s="12"/>
      <c r="C234" s="16"/>
      <c r="D234" s="45"/>
      <c r="E234" s="46"/>
    </row>
    <row r="235" spans="1:5" ht="15.75" x14ac:dyDescent="0.25">
      <c r="A235" s="8">
        <v>16</v>
      </c>
      <c r="B235" s="34" t="s">
        <v>223</v>
      </c>
      <c r="C235" s="3" t="s">
        <v>30</v>
      </c>
      <c r="D235" s="47"/>
      <c r="E235" s="48"/>
    </row>
    <row r="236" spans="1:5" ht="15.75" x14ac:dyDescent="0.25">
      <c r="A236" s="8"/>
      <c r="B236" s="34"/>
      <c r="C236" s="16" t="s">
        <v>224</v>
      </c>
      <c r="D236" s="43" t="s">
        <v>7</v>
      </c>
      <c r="E236" s="44">
        <v>29</v>
      </c>
    </row>
    <row r="237" spans="1:5" ht="15.75" x14ac:dyDescent="0.25">
      <c r="A237" s="12"/>
      <c r="C237" s="16" t="s">
        <v>225</v>
      </c>
      <c r="D237" s="43" t="s">
        <v>9</v>
      </c>
      <c r="E237" s="44">
        <v>34</v>
      </c>
    </row>
    <row r="238" spans="1:5" ht="15.75" x14ac:dyDescent="0.25">
      <c r="A238" s="12"/>
      <c r="C238" s="16" t="s">
        <v>226</v>
      </c>
      <c r="D238" s="43" t="s">
        <v>11</v>
      </c>
      <c r="E238" s="44">
        <v>35</v>
      </c>
    </row>
    <row r="239" spans="1:5" ht="15.75" x14ac:dyDescent="0.25">
      <c r="A239" s="12"/>
      <c r="C239" s="16" t="s">
        <v>227</v>
      </c>
      <c r="D239" s="43" t="s">
        <v>13</v>
      </c>
      <c r="E239" s="44">
        <v>40</v>
      </c>
    </row>
    <row r="240" spans="1:5" ht="15.75" x14ac:dyDescent="0.25">
      <c r="A240" s="12"/>
      <c r="C240" s="16" t="s">
        <v>228</v>
      </c>
      <c r="D240" s="43" t="s">
        <v>15</v>
      </c>
      <c r="E240" s="44">
        <v>62</v>
      </c>
    </row>
    <row r="241" spans="1:5" ht="15.75" x14ac:dyDescent="0.25">
      <c r="A241" s="12"/>
      <c r="C241" s="16" t="s">
        <v>229</v>
      </c>
      <c r="D241" s="43" t="s">
        <v>17</v>
      </c>
      <c r="E241" s="44">
        <v>30</v>
      </c>
    </row>
    <row r="242" spans="1:5" ht="15.75" x14ac:dyDescent="0.25">
      <c r="A242" s="12"/>
      <c r="C242" s="16" t="s">
        <v>230</v>
      </c>
      <c r="D242" s="43" t="s">
        <v>19</v>
      </c>
      <c r="E242" s="44">
        <v>50</v>
      </c>
    </row>
    <row r="243" spans="1:5" ht="15.75" x14ac:dyDescent="0.25">
      <c r="A243" s="12"/>
      <c r="C243" s="16" t="s">
        <v>231</v>
      </c>
      <c r="D243" s="43" t="s">
        <v>21</v>
      </c>
      <c r="E243" s="44">
        <v>83</v>
      </c>
    </row>
    <row r="244" spans="1:5" ht="15.75" x14ac:dyDescent="0.25">
      <c r="A244" s="12"/>
      <c r="C244" s="16" t="s">
        <v>232</v>
      </c>
      <c r="D244" s="43" t="s">
        <v>23</v>
      </c>
      <c r="E244" s="44">
        <v>64</v>
      </c>
    </row>
    <row r="245" spans="1:5" ht="15.75" x14ac:dyDescent="0.25">
      <c r="A245" s="12"/>
      <c r="C245" s="16" t="s">
        <v>233</v>
      </c>
      <c r="D245" s="43" t="s">
        <v>25</v>
      </c>
      <c r="E245" s="44">
        <v>105</v>
      </c>
    </row>
    <row r="246" spans="1:5" ht="15.75" x14ac:dyDescent="0.25">
      <c r="A246" s="12"/>
      <c r="C246" s="16" t="s">
        <v>234</v>
      </c>
      <c r="D246" s="43" t="s">
        <v>27</v>
      </c>
      <c r="E246" s="44">
        <v>95</v>
      </c>
    </row>
    <row r="247" spans="1:5" ht="15.75" x14ac:dyDescent="0.25">
      <c r="A247" s="12"/>
      <c r="C247" s="16" t="s">
        <v>235</v>
      </c>
      <c r="D247" s="43" t="s">
        <v>102</v>
      </c>
      <c r="E247" s="44">
        <v>62</v>
      </c>
    </row>
    <row r="248" spans="1:5" ht="15.75" x14ac:dyDescent="0.25">
      <c r="A248" s="12"/>
      <c r="C248" s="16" t="s">
        <v>236</v>
      </c>
      <c r="D248" s="43" t="s">
        <v>104</v>
      </c>
      <c r="E248" s="44">
        <v>153</v>
      </c>
    </row>
    <row r="249" spans="1:5" ht="15.75" x14ac:dyDescent="0.25">
      <c r="A249" s="12"/>
      <c r="C249" s="16" t="s">
        <v>237</v>
      </c>
      <c r="D249" s="43" t="s">
        <v>106</v>
      </c>
      <c r="E249" s="44">
        <v>23</v>
      </c>
    </row>
    <row r="250" spans="1:5" ht="15.75" x14ac:dyDescent="0.25">
      <c r="A250" s="12"/>
      <c r="C250" s="16"/>
      <c r="D250" s="45" t="s">
        <v>29</v>
      </c>
      <c r="E250" s="46">
        <f>SUM(E236:E249)</f>
        <v>865</v>
      </c>
    </row>
    <row r="251" spans="1:5" ht="15.75" x14ac:dyDescent="0.25">
      <c r="A251" s="12"/>
      <c r="C251" s="16"/>
      <c r="D251" s="45"/>
      <c r="E251" s="46"/>
    </row>
    <row r="252" spans="1:5" ht="15.75" x14ac:dyDescent="0.25">
      <c r="A252" s="8">
        <v>17</v>
      </c>
      <c r="B252" s="9" t="s">
        <v>238</v>
      </c>
      <c r="C252" s="3" t="s">
        <v>30</v>
      </c>
      <c r="D252" s="47"/>
      <c r="E252" s="48"/>
    </row>
    <row r="253" spans="1:5" ht="15.75" x14ac:dyDescent="0.25">
      <c r="A253" s="8"/>
      <c r="B253" s="9"/>
      <c r="C253" s="36" t="s">
        <v>239</v>
      </c>
      <c r="D253" s="43" t="s">
        <v>7</v>
      </c>
      <c r="E253" s="44">
        <v>93</v>
      </c>
    </row>
    <row r="254" spans="1:5" ht="15.75" x14ac:dyDescent="0.25">
      <c r="A254" s="12"/>
      <c r="B254" s="13"/>
      <c r="C254" s="36" t="s">
        <v>240</v>
      </c>
      <c r="D254" s="43" t="s">
        <v>9</v>
      </c>
      <c r="E254" s="44">
        <v>34</v>
      </c>
    </row>
    <row r="255" spans="1:5" ht="15.75" x14ac:dyDescent="0.25">
      <c r="A255" s="12"/>
      <c r="B255" s="13"/>
      <c r="C255" s="36" t="s">
        <v>241</v>
      </c>
      <c r="D255" s="43" t="s">
        <v>11</v>
      </c>
      <c r="E255" s="44">
        <v>55</v>
      </c>
    </row>
    <row r="256" spans="1:5" ht="15.75" x14ac:dyDescent="0.25">
      <c r="A256" s="12"/>
      <c r="B256" s="13"/>
      <c r="C256" s="36" t="s">
        <v>242</v>
      </c>
      <c r="D256" s="43" t="s">
        <v>13</v>
      </c>
      <c r="E256" s="44">
        <v>43</v>
      </c>
    </row>
    <row r="257" spans="1:5" ht="15.75" x14ac:dyDescent="0.25">
      <c r="A257" s="12"/>
      <c r="B257" s="13"/>
      <c r="C257" s="36" t="s">
        <v>243</v>
      </c>
      <c r="D257" s="43" t="s">
        <v>15</v>
      </c>
      <c r="E257" s="44">
        <v>105</v>
      </c>
    </row>
    <row r="258" spans="1:5" ht="15.75" x14ac:dyDescent="0.25">
      <c r="A258" s="12"/>
      <c r="B258" s="13"/>
      <c r="C258" s="36" t="s">
        <v>244</v>
      </c>
      <c r="D258" s="43" t="s">
        <v>17</v>
      </c>
      <c r="E258" s="44">
        <v>80</v>
      </c>
    </row>
    <row r="259" spans="1:5" ht="15.75" x14ac:dyDescent="0.25">
      <c r="A259" s="12"/>
      <c r="B259" s="13"/>
      <c r="C259" s="36" t="s">
        <v>245</v>
      </c>
      <c r="D259" s="43" t="s">
        <v>19</v>
      </c>
      <c r="E259" s="44">
        <v>9</v>
      </c>
    </row>
    <row r="260" spans="1:5" ht="15.75" x14ac:dyDescent="0.25">
      <c r="A260" s="12"/>
      <c r="B260" s="13"/>
      <c r="C260" s="36" t="s">
        <v>246</v>
      </c>
      <c r="D260" s="43" t="s">
        <v>21</v>
      </c>
      <c r="E260" s="44">
        <v>8</v>
      </c>
    </row>
    <row r="261" spans="1:5" ht="15.75" x14ac:dyDescent="0.25">
      <c r="A261" s="12"/>
      <c r="B261" s="13"/>
      <c r="C261" s="36" t="s">
        <v>247</v>
      </c>
      <c r="D261" s="43" t="s">
        <v>23</v>
      </c>
      <c r="E261" s="44">
        <v>22</v>
      </c>
    </row>
    <row r="262" spans="1:5" ht="15.75" x14ac:dyDescent="0.25">
      <c r="A262" s="12"/>
      <c r="B262" s="13"/>
      <c r="C262" s="36" t="s">
        <v>248</v>
      </c>
      <c r="D262" s="43" t="s">
        <v>25</v>
      </c>
      <c r="E262" s="44">
        <v>8</v>
      </c>
    </row>
    <row r="263" spans="1:5" ht="15.75" x14ac:dyDescent="0.25">
      <c r="A263" s="12"/>
      <c r="B263" s="13"/>
      <c r="C263" s="36" t="s">
        <v>249</v>
      </c>
      <c r="D263" s="43" t="s">
        <v>27</v>
      </c>
      <c r="E263" s="44">
        <v>125</v>
      </c>
    </row>
    <row r="264" spans="1:5" ht="15.75" x14ac:dyDescent="0.25">
      <c r="A264" s="12"/>
      <c r="B264" s="13"/>
      <c r="D264" s="45" t="s">
        <v>29</v>
      </c>
      <c r="E264" s="46">
        <f>SUM(E253:E263)</f>
        <v>582</v>
      </c>
    </row>
    <row r="265" spans="1:5" ht="15.75" x14ac:dyDescent="0.25">
      <c r="A265" s="12"/>
      <c r="B265" s="13"/>
      <c r="D265" s="53"/>
      <c r="E265" s="54"/>
    </row>
    <row r="266" spans="1:5" ht="15.75" x14ac:dyDescent="0.25">
      <c r="A266" s="8">
        <v>18</v>
      </c>
      <c r="B266" s="6" t="s">
        <v>250</v>
      </c>
      <c r="C266" s="3" t="s">
        <v>30</v>
      </c>
      <c r="D266" s="57"/>
      <c r="E266" s="56"/>
    </row>
    <row r="267" spans="1:5" ht="15.75" x14ac:dyDescent="0.25">
      <c r="A267" s="8"/>
      <c r="B267" s="37"/>
      <c r="C267" s="16" t="s">
        <v>251</v>
      </c>
      <c r="D267" s="58" t="s">
        <v>7</v>
      </c>
      <c r="E267" s="44">
        <v>101</v>
      </c>
    </row>
    <row r="268" spans="1:5" ht="15.75" x14ac:dyDescent="0.25">
      <c r="A268" s="12"/>
      <c r="B268" s="13"/>
      <c r="C268" s="16" t="s">
        <v>252</v>
      </c>
      <c r="D268" s="58" t="s">
        <v>9</v>
      </c>
      <c r="E268" s="44">
        <v>112</v>
      </c>
    </row>
    <row r="269" spans="1:5" ht="15.75" x14ac:dyDescent="0.25">
      <c r="A269" s="12"/>
      <c r="B269" s="13"/>
      <c r="C269" s="16" t="s">
        <v>253</v>
      </c>
      <c r="D269" s="58" t="s">
        <v>11</v>
      </c>
      <c r="E269" s="44">
        <v>77</v>
      </c>
    </row>
    <row r="270" spans="1:5" ht="15.75" x14ac:dyDescent="0.25">
      <c r="A270" s="12"/>
      <c r="B270" s="13"/>
      <c r="C270" s="16" t="s">
        <v>254</v>
      </c>
      <c r="D270" s="58" t="s">
        <v>13</v>
      </c>
      <c r="E270" s="44">
        <v>36</v>
      </c>
    </row>
    <row r="271" spans="1:5" ht="15.75" x14ac:dyDescent="0.25">
      <c r="A271" s="12"/>
      <c r="B271" s="13"/>
      <c r="C271" s="16" t="s">
        <v>233</v>
      </c>
      <c r="D271" s="58" t="s">
        <v>15</v>
      </c>
      <c r="E271" s="44">
        <v>76</v>
      </c>
    </row>
    <row r="272" spans="1:5" ht="15.75" x14ac:dyDescent="0.25">
      <c r="A272" s="12"/>
      <c r="B272" s="13"/>
      <c r="C272" s="16" t="s">
        <v>255</v>
      </c>
      <c r="D272" s="58" t="s">
        <v>17</v>
      </c>
      <c r="E272" s="44">
        <v>65</v>
      </c>
    </row>
    <row r="273" spans="1:5" ht="15.75" x14ac:dyDescent="0.25">
      <c r="A273" s="12"/>
      <c r="B273" s="13"/>
      <c r="C273" s="16" t="s">
        <v>256</v>
      </c>
      <c r="D273" s="58" t="s">
        <v>19</v>
      </c>
      <c r="E273" s="44">
        <v>34</v>
      </c>
    </row>
    <row r="274" spans="1:5" ht="15.75" x14ac:dyDescent="0.25">
      <c r="A274" s="12"/>
      <c r="B274" s="13"/>
      <c r="C274" s="16" t="s">
        <v>257</v>
      </c>
      <c r="D274" s="58" t="s">
        <v>21</v>
      </c>
      <c r="E274" s="44">
        <v>53</v>
      </c>
    </row>
    <row r="275" spans="1:5" ht="15.75" x14ac:dyDescent="0.25">
      <c r="A275" s="12"/>
      <c r="B275" s="13"/>
      <c r="C275" s="16" t="s">
        <v>258</v>
      </c>
      <c r="D275" s="58" t="s">
        <v>23</v>
      </c>
      <c r="E275" s="44">
        <v>92</v>
      </c>
    </row>
    <row r="276" spans="1:5" ht="15.75" x14ac:dyDescent="0.25">
      <c r="A276" s="12"/>
      <c r="B276" s="13"/>
      <c r="C276" s="16" t="s">
        <v>259</v>
      </c>
      <c r="D276" s="58" t="s">
        <v>25</v>
      </c>
      <c r="E276" s="44">
        <v>58</v>
      </c>
    </row>
    <row r="277" spans="1:5" ht="15.75" x14ac:dyDescent="0.25">
      <c r="A277" s="12"/>
      <c r="B277" s="13"/>
      <c r="C277" s="16" t="s">
        <v>260</v>
      </c>
      <c r="D277" s="58" t="s">
        <v>27</v>
      </c>
      <c r="E277" s="44">
        <v>186</v>
      </c>
    </row>
    <row r="278" spans="1:5" ht="15.75" x14ac:dyDescent="0.25">
      <c r="A278" s="12"/>
      <c r="B278" s="19"/>
      <c r="C278" s="16"/>
      <c r="D278" s="59" t="s">
        <v>29</v>
      </c>
      <c r="E278" s="46">
        <f>SUM(E267:E277)</f>
        <v>890</v>
      </c>
    </row>
    <row r="279" spans="1:5" ht="15.75" x14ac:dyDescent="0.25">
      <c r="A279" s="12"/>
      <c r="B279" s="13"/>
      <c r="C279" s="16"/>
      <c r="D279" s="59"/>
      <c r="E279" s="46"/>
    </row>
    <row r="280" spans="1:5" ht="15.75" x14ac:dyDescent="0.25">
      <c r="A280" s="8">
        <v>19</v>
      </c>
      <c r="B280" s="9" t="s">
        <v>261</v>
      </c>
      <c r="C280" s="3" t="s">
        <v>30</v>
      </c>
      <c r="D280" s="47"/>
      <c r="E280" s="48"/>
    </row>
    <row r="281" spans="1:5" ht="15.75" x14ac:dyDescent="0.25">
      <c r="A281" s="8"/>
      <c r="B281" s="9"/>
      <c r="C281" s="14" t="s">
        <v>262</v>
      </c>
      <c r="D281" s="43" t="s">
        <v>7</v>
      </c>
      <c r="E281" s="44">
        <v>38</v>
      </c>
    </row>
    <row r="282" spans="1:5" ht="15.75" x14ac:dyDescent="0.25">
      <c r="A282" s="12"/>
      <c r="B282" s="13"/>
      <c r="C282" s="14" t="s">
        <v>263</v>
      </c>
      <c r="D282" s="43" t="s">
        <v>9</v>
      </c>
      <c r="E282" s="44">
        <v>40</v>
      </c>
    </row>
    <row r="283" spans="1:5" ht="15.75" x14ac:dyDescent="0.25">
      <c r="A283" s="12"/>
      <c r="B283" s="13"/>
      <c r="C283" s="14" t="s">
        <v>264</v>
      </c>
      <c r="D283" s="43" t="s">
        <v>11</v>
      </c>
      <c r="E283" s="44">
        <v>33</v>
      </c>
    </row>
    <row r="284" spans="1:5" ht="15.75" x14ac:dyDescent="0.25">
      <c r="A284" s="12"/>
      <c r="B284" s="13"/>
      <c r="C284" s="14" t="s">
        <v>265</v>
      </c>
      <c r="D284" s="43" t="s">
        <v>13</v>
      </c>
      <c r="E284" s="44">
        <v>37</v>
      </c>
    </row>
    <row r="285" spans="1:5" ht="15.75" x14ac:dyDescent="0.25">
      <c r="A285" s="12"/>
      <c r="B285" s="13"/>
      <c r="C285" s="14" t="s">
        <v>266</v>
      </c>
      <c r="D285" s="43" t="s">
        <v>15</v>
      </c>
      <c r="E285" s="44">
        <v>41</v>
      </c>
    </row>
    <row r="286" spans="1:5" ht="15.75" x14ac:dyDescent="0.25">
      <c r="A286" s="12"/>
      <c r="B286" s="13"/>
      <c r="C286" s="14" t="s">
        <v>267</v>
      </c>
      <c r="D286" s="43" t="s">
        <v>17</v>
      </c>
      <c r="E286" s="44">
        <v>92</v>
      </c>
    </row>
    <row r="287" spans="1:5" ht="15.75" x14ac:dyDescent="0.25">
      <c r="A287" s="12"/>
      <c r="B287" s="13"/>
      <c r="C287" s="14" t="s">
        <v>268</v>
      </c>
      <c r="D287" s="43" t="s">
        <v>19</v>
      </c>
      <c r="E287" s="44">
        <v>57</v>
      </c>
    </row>
    <row r="288" spans="1:5" ht="15.75" x14ac:dyDescent="0.25">
      <c r="A288" s="12"/>
      <c r="B288" s="13"/>
      <c r="C288" s="14" t="s">
        <v>269</v>
      </c>
      <c r="D288" s="43" t="s">
        <v>21</v>
      </c>
      <c r="E288" s="44">
        <v>31</v>
      </c>
    </row>
    <row r="289" spans="1:5" ht="15.75" x14ac:dyDescent="0.25">
      <c r="A289" s="12"/>
      <c r="B289" s="13"/>
      <c r="C289" s="14" t="s">
        <v>270</v>
      </c>
      <c r="D289" s="43" t="s">
        <v>23</v>
      </c>
      <c r="E289" s="44">
        <v>50</v>
      </c>
    </row>
    <row r="290" spans="1:5" ht="15.75" x14ac:dyDescent="0.25">
      <c r="A290" s="12"/>
      <c r="B290" s="13"/>
      <c r="C290" s="14" t="s">
        <v>271</v>
      </c>
      <c r="D290" s="43" t="s">
        <v>25</v>
      </c>
      <c r="E290" s="44">
        <v>50</v>
      </c>
    </row>
    <row r="291" spans="1:5" ht="15.75" x14ac:dyDescent="0.25">
      <c r="A291" s="12"/>
      <c r="B291" s="13"/>
      <c r="C291" s="14" t="s">
        <v>272</v>
      </c>
      <c r="D291" s="43" t="s">
        <v>27</v>
      </c>
      <c r="E291" s="44">
        <v>59</v>
      </c>
    </row>
    <row r="292" spans="1:5" ht="15.75" x14ac:dyDescent="0.25">
      <c r="A292" s="12"/>
      <c r="B292" s="13"/>
      <c r="C292" s="14" t="s">
        <v>273</v>
      </c>
      <c r="D292" s="43" t="s">
        <v>102</v>
      </c>
      <c r="E292" s="44">
        <v>88</v>
      </c>
    </row>
    <row r="293" spans="1:5" ht="15.75" x14ac:dyDescent="0.25">
      <c r="A293" s="12"/>
      <c r="B293" s="13"/>
      <c r="D293" s="45" t="s">
        <v>29</v>
      </c>
      <c r="E293" s="46">
        <f>SUM(E281:E292)</f>
        <v>616</v>
      </c>
    </row>
    <row r="294" spans="1:5" ht="15.75" x14ac:dyDescent="0.25">
      <c r="A294" s="12"/>
      <c r="B294" s="13"/>
      <c r="D294" s="60"/>
      <c r="E294" s="61"/>
    </row>
    <row r="295" spans="1:5" ht="15.75" x14ac:dyDescent="0.25">
      <c r="A295" s="8">
        <v>20</v>
      </c>
      <c r="B295" s="9" t="s">
        <v>274</v>
      </c>
      <c r="C295" s="3" t="s">
        <v>28</v>
      </c>
      <c r="D295" s="62"/>
      <c r="E295" s="63"/>
    </row>
    <row r="296" spans="1:5" ht="15.75" x14ac:dyDescent="0.25">
      <c r="A296" s="8"/>
      <c r="B296" s="9"/>
      <c r="C296" s="16" t="s">
        <v>275</v>
      </c>
      <c r="D296" s="58" t="s">
        <v>7</v>
      </c>
      <c r="E296" s="44">
        <v>84</v>
      </c>
    </row>
    <row r="297" spans="1:5" ht="15.75" x14ac:dyDescent="0.25">
      <c r="A297" s="12"/>
      <c r="B297" s="13"/>
      <c r="C297" s="16" t="s">
        <v>276</v>
      </c>
      <c r="D297" s="58" t="s">
        <v>9</v>
      </c>
      <c r="E297" s="44">
        <v>116</v>
      </c>
    </row>
    <row r="298" spans="1:5" ht="15.75" x14ac:dyDescent="0.25">
      <c r="A298" s="12"/>
      <c r="B298" s="13"/>
      <c r="C298" s="16" t="s">
        <v>277</v>
      </c>
      <c r="D298" s="58" t="s">
        <v>11</v>
      </c>
      <c r="E298" s="44">
        <v>86</v>
      </c>
    </row>
    <row r="299" spans="1:5" ht="15.75" x14ac:dyDescent="0.25">
      <c r="A299" s="12"/>
      <c r="B299" s="13"/>
      <c r="C299" s="16" t="s">
        <v>278</v>
      </c>
      <c r="D299" s="58" t="s">
        <v>13</v>
      </c>
      <c r="E299" s="44">
        <v>52</v>
      </c>
    </row>
    <row r="300" spans="1:5" ht="15.75" x14ac:dyDescent="0.25">
      <c r="A300" s="12"/>
      <c r="B300" s="13"/>
      <c r="C300" s="16" t="s">
        <v>279</v>
      </c>
      <c r="D300" s="58" t="s">
        <v>15</v>
      </c>
      <c r="E300" s="44">
        <v>37</v>
      </c>
    </row>
    <row r="301" spans="1:5" ht="15.75" x14ac:dyDescent="0.25">
      <c r="A301" s="12"/>
      <c r="B301" s="13"/>
      <c r="C301" s="16" t="s">
        <v>280</v>
      </c>
      <c r="D301" s="58" t="s">
        <v>17</v>
      </c>
      <c r="E301" s="44">
        <v>43</v>
      </c>
    </row>
    <row r="302" spans="1:5" ht="15.75" x14ac:dyDescent="0.25">
      <c r="A302" s="12"/>
      <c r="B302" s="13"/>
      <c r="C302" s="16" t="s">
        <v>281</v>
      </c>
      <c r="D302" s="58" t="s">
        <v>19</v>
      </c>
      <c r="E302" s="44">
        <v>57</v>
      </c>
    </row>
    <row r="303" spans="1:5" ht="15.75" x14ac:dyDescent="0.25">
      <c r="A303" s="12"/>
      <c r="B303" s="13"/>
      <c r="C303" s="16" t="s">
        <v>282</v>
      </c>
      <c r="D303" s="58" t="s">
        <v>21</v>
      </c>
      <c r="E303" s="44">
        <v>38</v>
      </c>
    </row>
    <row r="304" spans="1:5" ht="15.75" x14ac:dyDescent="0.25">
      <c r="A304" s="12"/>
      <c r="B304" s="13"/>
      <c r="C304" s="16" t="s">
        <v>283</v>
      </c>
      <c r="D304" s="58" t="s">
        <v>23</v>
      </c>
      <c r="E304" s="44">
        <v>31</v>
      </c>
    </row>
    <row r="305" spans="1:5" ht="15.75" x14ac:dyDescent="0.25">
      <c r="A305" s="12"/>
      <c r="B305" s="13"/>
      <c r="C305" s="16" t="s">
        <v>284</v>
      </c>
      <c r="D305" s="58" t="s">
        <v>25</v>
      </c>
      <c r="E305" s="44">
        <v>35</v>
      </c>
    </row>
    <row r="306" spans="1:5" ht="15.75" x14ac:dyDescent="0.25">
      <c r="A306" s="12"/>
      <c r="B306" s="13"/>
      <c r="C306" s="16" t="s">
        <v>236</v>
      </c>
      <c r="D306" s="58" t="s">
        <v>27</v>
      </c>
      <c r="E306" s="44">
        <v>94</v>
      </c>
    </row>
    <row r="307" spans="1:5" ht="15.75" x14ac:dyDescent="0.25">
      <c r="A307" s="12"/>
      <c r="B307" s="13"/>
      <c r="C307" s="16" t="s">
        <v>285</v>
      </c>
      <c r="D307" s="58" t="s">
        <v>102</v>
      </c>
      <c r="E307" s="44">
        <v>84</v>
      </c>
    </row>
    <row r="308" spans="1:5" s="38" customFormat="1" ht="15.75" x14ac:dyDescent="0.25">
      <c r="A308" s="39"/>
      <c r="B308" s="37"/>
      <c r="C308" s="6"/>
      <c r="D308" s="59" t="s">
        <v>29</v>
      </c>
      <c r="E308" s="46">
        <f>SUM(E296:E307)</f>
        <v>757</v>
      </c>
    </row>
    <row r="309" spans="1:5" s="41" customFormat="1" ht="15.75" x14ac:dyDescent="0.25">
      <c r="A309" s="39"/>
      <c r="B309" s="40"/>
      <c r="C309" s="40"/>
      <c r="D309" s="64"/>
      <c r="E309" s="65"/>
    </row>
    <row r="310" spans="1:5" s="41" customFormat="1" ht="15.75" x14ac:dyDescent="0.25">
      <c r="A310" s="33"/>
      <c r="B310" s="42"/>
      <c r="C310" s="3"/>
      <c r="D310" s="64"/>
      <c r="E310" s="65">
        <f>SUM(E308,E264,E250,E293,E233,E219,E162,E86,E135,E149,E72,E108,E59,E31,E17,E278,E197,E184,E121,E45)</f>
        <v>13325</v>
      </c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sulaimon badru</dc:creator>
  <cp:lastModifiedBy>sulaimon badru</cp:lastModifiedBy>
  <dcterms:created xsi:type="dcterms:W3CDTF">2026-07-29T15:21:44Z</dcterms:created>
  <dcterms:modified xsi:type="dcterms:W3CDTF">2026-07-29T15:39:35Z</dcterms:modified>
</cp:coreProperties>
</file>